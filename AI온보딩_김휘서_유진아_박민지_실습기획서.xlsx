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"/>
    </mc:Choice>
  </mc:AlternateContent>
  <xr:revisionPtr revIDLastSave="0" documentId="8_{BCAEE59C-3C28-4267-94E6-9429845CB95B}" xr6:coauthVersionLast="47" xr6:coauthVersionMax="47" xr10:uidLastSave="{00000000-0000-0000-0000-000000000000}"/>
  <bookViews>
    <workbookView xWindow="2340" yWindow="2340" windowWidth="28800" windowHeight="15345" tabRatio="500" firstSheet="4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2" i="6" l="1"/>
  <c r="H41" i="6"/>
  <c r="H39" i="6"/>
  <c r="H38" i="6"/>
  <c r="H37" i="6"/>
  <c r="H36" i="6"/>
  <c r="H35" i="6"/>
  <c r="H24" i="6"/>
  <c r="H23" i="6"/>
  <c r="H21" i="6"/>
  <c r="H20" i="6"/>
  <c r="H19" i="6"/>
  <c r="H18" i="6"/>
  <c r="H17" i="6"/>
  <c r="H44" i="6"/>
  <c r="H43" i="6"/>
  <c r="H40" i="6"/>
  <c r="H34" i="6"/>
  <c r="H33" i="6"/>
  <c r="H32" i="6"/>
  <c r="H31" i="6"/>
  <c r="H30" i="6"/>
  <c r="H29" i="6"/>
  <c r="H28" i="6"/>
  <c r="H27" i="6"/>
  <c r="H26" i="6"/>
  <c r="H25" i="6"/>
  <c r="H22" i="6"/>
  <c r="H16" i="6"/>
  <c r="H15" i="6"/>
  <c r="H14" i="6"/>
  <c r="H13" i="6"/>
  <c r="H12" i="6"/>
  <c r="H11" i="6"/>
  <c r="H10" i="6"/>
  <c r="H9" i="6"/>
  <c r="H8" i="6"/>
  <c r="H7" i="6"/>
  <c r="H6" i="6"/>
  <c r="H5" i="6"/>
  <c r="G13" i="4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<sst xmlns="http://schemas.openxmlformats.org/spreadsheetml/2006/main" count="368" uniqueCount="280">
  <si>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</si>
  <si>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</si>
  <si>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</si>
  <si>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</si>
  <si>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</si>
  <si>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</si>
  <si>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</si>
  <si>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</si>
  <si>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</si>
  <si>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</si>
  <si>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</si>
  <si>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</si>
  <si>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</si>
  <si>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</si>
  <si>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</si>
  <si>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</si>
  <si>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</si>
  <si>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</si>
  <si>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</si>
  <si>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</si>
  <si>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</si>
  <si>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</si>
  <si>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</si>
  <si>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</si>
  <si>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</si>
  <si>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</si>
  <si>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</si>
  <si>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</si>
  <si>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</si>
  <si>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</si>
  <si>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</si>
  <si>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</si>
  <si>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</si>
  <si>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</si>
  <si>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</si>
  <si>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</si>
  <si>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</si>
  <si>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</si>
  <si>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</si>
  <si>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</si>
  <si>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</si>
  <si>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</si>
  <si>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</si>
  <si>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</si>
  <si>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</si>
  <si>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</si>
  <si>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</si>
  <si>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</si>
  <si>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</si>
  <si>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</si>
  <si>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</si>
  <si>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리스크 및 대응 (실습: 프롬프트가이드 탭의 '리스크점검' 프롬프트 활용)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</si>
  <si>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</si>
  <si>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</si>
  <si>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</si>
  <si>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</si>
  <si>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</si>
  <si>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</si>
  <si>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</si>
  <si>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</si>
  <si>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</si>
  <si>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</si>
  <si>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</si>
  <si>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</si>
  <si>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</si>
  <si>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</si>
  <si>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</si>
  <si>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</si>
  <si>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</si>
  <si>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</si>
  <si>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</si>
  <si>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</si>
  <si>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</si>
  <si>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</si>
  <si>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</si>
  <si>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</si>
  <si>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</si>
  <si>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</si>
  <si>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</si>
  <si>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</si>
  <si>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</si>
  <si>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</si>
  <si>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</si>
  <si>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</si>
  <si>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</si>
  <si>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</si>
  <si>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</si>
  <si>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</si>
  <si>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</si>
  <si>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</si>
  <si>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</si>
  <si>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</si>
  <si>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</si>
  <si>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</si>
  <si>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</si>
  <si>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</si>
  <si>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</si>
  <si>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</si>
  <si>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</si>
  <si>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</si>
  <si>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</si>
  <si>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</si>
  <si>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</si>
  <si>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</si>
  <si>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</si>
  <si>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</si>
  <si>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</si>
  <si>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</si>
  <si>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</si>
  <si>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</si>
  <si>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</si>
  <si>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</si>
  <si>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</si>
  <si>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</si>
  <si>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</si>
  <si>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</si>
  <si>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</si>
  <si>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</si>
  <si>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</si>
  <si>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</si>
  <si>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</si>
  <si>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</si>
  <si>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</si>
  <si>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</si>
  <si>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</si>
  <si>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</si>
  <si>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</si>
  <si>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</si>
  <si>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</si>
  <si>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</si>
  <si>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</si>
  <si>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</si>
  <si>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</si>
  <si>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</si>
  <si>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</si>
  <si>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</si>
  <si>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</si>
  <si>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</si>
  <si>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</si>
  <si>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</si>
  <si>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</si>
  <si>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</si>
  <si>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</si>
  <si>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Arial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Arial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Arial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Arial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Arial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실현가능성(난이도가 낮을수록 높음)과 임팩트(사용자 체감 효과)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(선택 가능한 후보 표 붙여넣기, 9 page 내용 ) ---</t>
    </r>
    <phoneticPr fontId="17" type="noConversion"/>
  </si>
  <si>
    <t>이 프로젝트의 MVP 범위를 MoSCoW 방식으로 정리해줘._x000B_Must have는 개발 의뢰 문서(RFP)의 '필수' 항목 그대로, _x000B_Should/Could have는 평과 결과를 고려,Won't have(이번엔 안 하는 것)도 명확히 구분해서 표로 만들어줘._x000B_--- (개발 의뢰 문서(RFP) 원문 전체 및 평가 결과 넣기) ---</t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</si>
  <si>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</si>
  <si>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</si>
  <si>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</si>
  <si>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</si>
  <si>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Must</t>
  </si>
  <si>
    <r>
      <rPr>
        <sz val="10"/>
        <color theme="1"/>
        <rFont val="맑은 고딕"/>
        <family val="3"/>
        <charset val="129"/>
      </rPr>
      <t>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지역</t>
    </r>
    <phoneticPr fontId="17" type="noConversion"/>
  </si>
  <si>
    <t>데이터 소스</t>
  </si>
  <si>
    <t>메인 기능</t>
  </si>
  <si>
    <t>서브 기능 – 커뮤니티</t>
  </si>
  <si>
    <t>서브 기능 – 챗봇</t>
  </si>
  <si>
    <t>체크인 방식</t>
  </si>
  <si>
    <t>미션·배지 체계</t>
  </si>
  <si>
    <t>기술 스택</t>
  </si>
  <si>
    <t>서울(서울/경기 권역)로 확정</t>
  </si>
  <si>
    <t>제공 공공데이터(JSON) 기반으로 서비스 구성</t>
  </si>
  <si>
    <t>여행 스탬프(체크인) + 여행 로그</t>
  </si>
  <si>
    <t>익명 커뮤니티(로그인 없이 임시 닉네임 기반)</t>
  </si>
  <si>
    <t>FastAPI + OpenAI API 기반 지역정보 질의응답</t>
  </si>
  <si>
    <t>GPS 위치 인증 + 사진 업로드, 지정 반경(예: 100m) 이내 활성화</t>
  </si>
  <si>
    <t>테마형/기간형 미션, 조건 충족 시 규칙 기반 배지 자동 지급</t>
  </si>
  <si>
    <t>FE: Vue.js 3 / BE: FastAPI + SQLite</t>
  </si>
  <si>
    <t>1. 프로젝트 개요 – 대상 지역</t>
  </si>
  <si>
    <t>1. 프로젝트 개요 – 데이터 기반</t>
  </si>
  <si>
    <t>3. 기능 우선순위 정의 – 메인 기능</t>
  </si>
  <si>
    <t>3. 기능 우선순위 정의 / 4.5</t>
  </si>
  <si>
    <t>3. 기능 우선순위 정의 / 4.4</t>
  </si>
  <si>
    <t>4.1 여행 스탬프(체크인)</t>
  </si>
  <si>
    <t>4.2 미션 &amp; 배지 시스템</t>
  </si>
  <si>
    <t>6. 기술 스택 및 개발 환경</t>
  </si>
  <si>
    <t>지역 확정으로 스코프는 명확하나, 서울 권역 공공데이터의 실제 커버리지(장소 수, 좌표 정확도) 사전 검증 필요</t>
  </si>
  <si>
    <t>"기반"이 타 데이터 소스 사용 불가를 의미하는지 재확인 필요. 배타적이면 제약사항으로 재분류</t>
  </si>
  <si>
    <t>체크인 인증 방식(GPS 오차 허용범위, 사진 검증 기준) 착수 전 확정 필요</t>
  </si>
  <si>
    <t>명칭은 "서브"이나 근거상 필수 요구사항. 우선순위 문구 정정 또는 개발 순서 재조정 권고</t>
  </si>
  <si>
    <t>OpenAI API 사용에 따른 비용·응답속도 SLA 별도 협의 필요</t>
  </si>
  <si>
    <t>"예시" 표기로 확정값 아님. 실제 반경 기준 확정하지 않으면 재작업 가능</t>
  </si>
  <si>
    <t>배지 지급 조건 테이블(미션ID-조건-배지) 별도 확정 필요</t>
  </si>
  <si>
    <t>변경 가능 여부(예: DB 확장 시 전환 허용 여부) 고객사 확인 권고</t>
  </si>
  <si>
    <t>제약</t>
  </si>
  <si>
    <t>보안 – 민감정보 관리</t>
  </si>
  <si>
    <r>
      <t xml:space="preserve">API </t>
    </r>
    <r>
      <rPr>
        <sz val="10"/>
        <color theme="1"/>
        <rFont val="맑은 고딕"/>
        <family val="3"/>
        <charset val="129"/>
      </rPr>
      <t>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민감정보는</t>
    </r>
    <r>
      <rPr>
        <sz val="10"/>
        <color theme="1"/>
        <rFont val="Arial"/>
        <family val="2"/>
      </rPr>
      <t xml:space="preserve"> .env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저장소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커밋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금지</t>
    </r>
    <phoneticPr fontId="17" type="noConversion"/>
  </si>
  <si>
    <t>6. 기술 스택 및 개발 환경 – 보안</t>
  </si>
  <si>
    <t>명확한 금지 조항. 시크릿 스캔(pre-commit hook 등) 도입 권고</t>
  </si>
  <si>
    <t>지도 시각화</t>
  </si>
  <si>
    <t>관광코스 제안 + 랭킹</t>
  </si>
  <si>
    <t>향후 확장 항목</t>
  </si>
  <si>
    <r>
      <rPr>
        <sz val="10"/>
        <color theme="1"/>
        <rFont val="맑은 고딕"/>
        <family val="3"/>
        <charset val="129"/>
      </rPr>
      <t>지도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시각화</t>
    </r>
    <phoneticPr fontId="17" type="noConversion"/>
  </si>
  <si>
    <t>체크인 위치·미완료 장소 지도 마커 표시</t>
  </si>
  <si>
    <t>사용자 코스 등록, 좋아요 수 기반 랭킹</t>
  </si>
  <si>
    <t>다국어, 실시간 알림, 날씨 연동, 소셜 공유</t>
  </si>
  <si>
    <t>3. 기능 우선순위 정의 / 4.6</t>
  </si>
  <si>
    <t>3. 기능 우선순위 정의 – 자율 확장 기능 / 5단계</t>
  </si>
  <si>
    <t>8. 향후 확장 가능 항목</t>
  </si>
  <si>
    <t>사실상 핵심 기능에 가까움. "선택"이지만 로드맵상 2단계 배치 — 정합성 확인 필요</t>
  </si>
  <si>
    <t>실시간 정렬 아닌 배치 집계 권고. 좋아요 어뷰징 방지 정책 필요</t>
  </si>
  <si>
    <t>본 과제 범위 외로 명시. 향후 추가 요청 시 변경관리 대상임을 사전 합의 권고</t>
  </si>
  <si>
    <t>Could</t>
  </si>
  <si>
    <t>데이터 시각화 대시보드</t>
  </si>
  <si>
    <t>축제 캘린더</t>
  </si>
  <si>
    <t>경로 안내</t>
  </si>
  <si>
    <t>날씨 정보 연동</t>
  </si>
  <si>
    <t>실시간 알림</t>
  </si>
  <si>
    <t>다국어 지원</t>
  </si>
  <si>
    <t>소셜 공유 연동</t>
  </si>
  <si>
    <t>Leaflet.js+OpenStreetMap이면 키 불필요, 체크인과 직결되어 임팩트 최상. 단 마커+필터 UI까지 3일은 빠듯</t>
  </si>
  <si>
    <t>Chart.js는 쉬우나 집계 API 별도 구현 필요. 체크인 플로우와 직접 연결 안 됨</t>
  </si>
  <si>
    <t>제공 JSON 내 축제 데이터 존재 여부 불확실 — 데이터 확보 리스크</t>
  </si>
  <si>
    <t>최적 경로 알고리즘까지 가면 신입에게 난도 높음. 단순 선 잇기 수준으로 축소 필요</t>
  </si>
  <si>
    <t>외부 날씨 API 키 발급 필요 — "OpenAI API만 허용" 조건과 충돌 가능성</t>
  </si>
  <si>
    <t>WebSocket 서버 구성이 신입에게 매우 어렵고 3일로는 안정적 구현 불가능에 가까움</t>
  </si>
  <si>
    <t>i18n 셋업은 쉬우나 전체 콘텐츠 번역 물량이 시간 소요. 코어 기능과 무관</t>
  </si>
  <si>
    <t>카카오톡 공유는 SDK/키 필요(제약 위반 소지). 링크복사+OG태그만 하면 체감 효과도 낮음</t>
  </si>
  <si>
    <t>선정</t>
  </si>
  <si>
    <t>제외</t>
  </si>
  <si>
    <t>보류</t>
  </si>
  <si>
    <r>
      <rPr>
        <sz val="9"/>
        <color rgb="FF222222"/>
        <rFont val="맑은 고딕"/>
        <family val="3"/>
        <charset val="129"/>
      </rPr>
      <t>선정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결과</t>
    </r>
    <r>
      <rPr>
        <sz val="9"/>
        <color rgb="FF222222"/>
        <rFont val="Arial"/>
        <family val="2"/>
      </rPr>
      <t xml:space="preserve">: </t>
    </r>
    <r>
      <rPr>
        <sz val="9"/>
        <color rgb="FF222222"/>
        <rFont val="맑은 고딕"/>
        <family val="3"/>
        <charset val="129"/>
      </rPr>
      <t>지도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시각화</t>
    </r>
    <r>
      <rPr>
        <sz val="9"/>
        <color rgb="FF222222"/>
        <rFont val="Arial"/>
        <family val="2"/>
      </rPr>
      <t>(1</t>
    </r>
    <r>
      <rPr>
        <sz val="9"/>
        <color rgb="FF222222"/>
        <rFont val="맑은 고딕"/>
        <family val="3"/>
        <charset val="129"/>
      </rPr>
      <t>순위</t>
    </r>
    <r>
      <rPr>
        <sz val="9"/>
        <color rgb="FF222222"/>
        <rFont val="Arial"/>
        <family val="2"/>
      </rPr>
      <t xml:space="preserve">), </t>
    </r>
    <r>
      <rPr>
        <sz val="9"/>
        <color rgb="FF222222"/>
        <rFont val="돋움"/>
        <family val="2"/>
        <charset val="129"/>
      </rPr>
      <t>소셜공유연동</t>
    </r>
    <r>
      <rPr>
        <sz val="9"/>
        <color rgb="FF222222"/>
        <rFont val="Arial"/>
        <family val="2"/>
      </rPr>
      <t xml:space="preserve"> / </t>
    </r>
    <r>
      <rPr>
        <sz val="9"/>
        <color rgb="FF222222"/>
        <rFont val="맑은 고딕"/>
        <family val="3"/>
        <charset val="129"/>
      </rPr>
      <t>날씨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정보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연동</t>
    </r>
    <r>
      <rPr>
        <sz val="9"/>
        <color rgb="FF222222"/>
        <rFont val="Arial"/>
        <family val="2"/>
      </rPr>
      <t>(</t>
    </r>
    <r>
      <rPr>
        <sz val="9"/>
        <color rgb="FF222222"/>
        <rFont val="맑은 고딕"/>
        <family val="3"/>
        <charset val="129"/>
      </rPr>
      <t>예비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후보</t>
    </r>
    <r>
      <rPr>
        <sz val="9"/>
        <color rgb="FF222222"/>
        <rFont val="Arial"/>
        <family val="2"/>
      </rPr>
      <t xml:space="preserve">) - </t>
    </r>
    <r>
      <rPr>
        <sz val="9"/>
        <color rgb="FF222222"/>
        <rFont val="맑은 고딕"/>
        <family val="3"/>
        <charset val="129"/>
      </rPr>
      <t>개발기간</t>
    </r>
    <r>
      <rPr>
        <sz val="9"/>
        <color rgb="FF222222"/>
        <rFont val="Arial"/>
        <family val="2"/>
      </rPr>
      <t xml:space="preserve"> 3</t>
    </r>
    <r>
      <rPr>
        <sz val="9"/>
        <color rgb="FF222222"/>
        <rFont val="맑은 고딕"/>
        <family val="3"/>
        <charset val="129"/>
      </rPr>
      <t>일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완성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가능성을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최우선으로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판단</t>
    </r>
    <phoneticPr fontId="17" type="noConversion"/>
  </si>
  <si>
    <t>서울</t>
    <phoneticPr fontId="17" type="noConversion"/>
  </si>
  <si>
    <t>여행객</t>
    <phoneticPr fontId="17" type="noConversion"/>
  </si>
  <si>
    <t>서울 지역 공공데이터 기반 서비스</t>
    <phoneticPr fontId="17" type="noConversion"/>
  </si>
  <si>
    <t>여행 스탬프(체크인) + 여행 로그</t>
    <phoneticPr fontId="17" type="noConversion"/>
  </si>
  <si>
    <t>체크인 방식 : GPS 위치 인증</t>
    <phoneticPr fontId="17" type="noConversion"/>
  </si>
  <si>
    <r>
      <t>미션</t>
    </r>
    <r>
      <rPr>
        <sz val="10"/>
        <color rgb="FF222222"/>
        <rFont val="돋움"/>
        <family val="2"/>
        <charset val="129"/>
      </rPr>
      <t xml:space="preserve"> &amp; 배지 체계</t>
    </r>
    <phoneticPr fontId="17" type="noConversion"/>
  </si>
  <si>
    <t>익명 커뮤니티 / 챗봇 API</t>
    <phoneticPr fontId="17" type="noConversion"/>
  </si>
  <si>
    <t>지도 시각화</t>
    <phoneticPr fontId="17" type="noConversion"/>
  </si>
  <si>
    <t>데이터 대시보드</t>
    <phoneticPr fontId="17" type="noConversion"/>
  </si>
  <si>
    <t>관광코스 제안 + 좋아요 기반 랭킹</t>
    <phoneticPr fontId="17" type="noConversion"/>
  </si>
  <si>
    <t>실시간 알림</t>
    <phoneticPr fontId="17" type="noConversion"/>
  </si>
  <si>
    <t>날씨 정보 연동</t>
    <phoneticPr fontId="17" type="noConversion"/>
  </si>
  <si>
    <t>축제 캘린더 / 경로 안내</t>
    <phoneticPr fontId="17" type="noConversion"/>
  </si>
  <si>
    <t>요구사항 분석 및 MVP 확정</t>
  </si>
  <si>
    <t>사용자 흐름 및 화면 목록 확정</t>
  </si>
  <si>
    <r>
      <rPr>
        <sz val="10"/>
        <color rgb="FF222222"/>
        <rFont val="돋움"/>
        <family val="2"/>
        <charset val="129"/>
      </rPr>
      <t>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전체</t>
    </r>
    <phoneticPr fontId="17" type="noConversion"/>
  </si>
  <si>
    <r>
      <t>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3"/>
        <charset val="129"/>
      </rPr>
      <t>전체</t>
    </r>
  </si>
  <si>
    <t>DB 스키마 및 API 명세 작성</t>
  </si>
  <si>
    <t>DB 테이블 생성 스크립트 작성</t>
  </si>
  <si>
    <t>화면 와이어프레임·컴포넌트 구조 설계</t>
  </si>
  <si>
    <t>Vue 프로젝트 구조 및 라우팅 설계</t>
  </si>
  <si>
    <t>FastAPI 프로젝트 구조 설계</t>
  </si>
  <si>
    <t>.env, .gitignore, CORS 설정</t>
  </si>
  <si>
    <t>관광지·장소 목록 및 상세 API 개발</t>
  </si>
  <si>
    <t>익명 사용자 식별 처리 개발</t>
  </si>
  <si>
    <t>공통 레이아웃·메인 화면 기본 구조 개발</t>
  </si>
  <si>
    <t>여행 코스 목록·상세·추천 API 개발</t>
  </si>
  <si>
    <t>여행 코스 목록·상세·추천 화면 개발</t>
  </si>
  <si>
    <t>관광지 체크인 API 개발</t>
  </si>
  <si>
    <t>미션 진행률·스탬프·배지 지급 로직 개발</t>
  </si>
  <si>
    <t>미션 목록·상세·체크인 화면 개발</t>
  </si>
  <si>
    <t>여행 로그 조회 API 개발</t>
  </si>
  <si>
    <t>여행 로그 화면 개발</t>
  </si>
  <si>
    <t>익명 커뮤니티 게시판 CRUD API 개발</t>
  </si>
  <si>
    <t>관광코스 좋아요 API 개발</t>
  </si>
  <si>
    <t>인기 코스 랭킹 API 개발</t>
  </si>
  <si>
    <t>커뮤니티 CRUD·좋아요·랭킹 화면 개발</t>
  </si>
  <si>
    <t>챗봇 API 연동 개발</t>
  </si>
  <si>
    <t>챗봇 UI 개발</t>
  </si>
  <si>
    <t>기능별 프론트엔드·백엔드 중간 통합</t>
  </si>
  <si>
    <t>프론트엔드·백엔드 최종 통합</t>
  </si>
  <si>
    <t>지도 시각화·관광지 마커 표시</t>
  </si>
  <si>
    <t>여행 코스 추천 기능 테스트</t>
  </si>
  <si>
    <t>체크인·미션·스탬프·배지 테스트</t>
  </si>
  <si>
    <t>여행 로그 테스트</t>
  </si>
  <si>
    <t>커뮤니티 CRUD·좋아요·랭킹 테스트</t>
  </si>
  <si>
    <t>챗봇 및 예외 상황 테스트</t>
  </si>
  <si>
    <t>버그 수정 및 시연 데이터 등록</t>
  </si>
  <si>
    <t>프론트엔드 빌드 및 배포</t>
  </si>
  <si>
    <t>배포 환경 기능·보안 점검</t>
  </si>
  <si>
    <r>
      <rPr>
        <sz val="10"/>
        <color rgb="FF434343"/>
        <rFont val="맑은 고딕"/>
        <family val="3"/>
        <charset val="129"/>
      </rPr>
      <t>백엔드</t>
    </r>
    <r>
      <rPr>
        <sz val="10"/>
        <color rgb="FF434343"/>
        <rFont val="Arial"/>
        <family val="2"/>
      </rPr>
      <t xml:space="preserve"> </t>
    </r>
    <r>
      <rPr>
        <sz val="10"/>
        <color rgb="FF434343"/>
        <rFont val="맑은 고딕"/>
        <family val="3"/>
        <charset val="129"/>
      </rPr>
      <t>서버</t>
    </r>
    <r>
      <rPr>
        <sz val="10"/>
        <color rgb="FF434343"/>
        <rFont val="Arial"/>
        <family val="2"/>
      </rPr>
      <t xml:space="preserve"> </t>
    </r>
    <r>
      <rPr>
        <sz val="10"/>
        <color rgb="FF434343"/>
        <rFont val="맑은 고딕"/>
        <family val="3"/>
        <charset val="129"/>
      </rPr>
      <t>배포</t>
    </r>
    <phoneticPr fontId="17" type="noConversion"/>
  </si>
  <si>
    <t>README 및 실행 가이드 작성</t>
  </si>
  <si>
    <t>데이터 출처 및 RFP 대비 결과 정리</t>
  </si>
  <si>
    <t>발표자료 제작</t>
  </si>
  <si>
    <t>시연 시나리오 작성 및 리허설</t>
  </si>
  <si>
    <t>유진아</t>
    <phoneticPr fontId="17" type="noConversion"/>
  </si>
  <si>
    <t>박민지</t>
    <phoneticPr fontId="17" type="noConversion"/>
  </si>
  <si>
    <t>김휘서</t>
    <phoneticPr fontId="17" type="noConversion"/>
  </si>
  <si>
    <t>팀 전체</t>
    <phoneticPr fontId="17" type="noConversion"/>
  </si>
  <si>
    <r>
      <rPr>
        <sz val="10"/>
        <color rgb="FF222222"/>
        <rFont val="맑은 고딕"/>
        <family val="3"/>
        <charset val="129"/>
      </rPr>
      <t>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전체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</si>
</sst>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53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sz val="9"/>
      <color rgb="FF222222"/>
      <name val="Noto Sans CJK SC"/>
      <family val="3"/>
      <charset val="129"/>
    </font>
    <font>
      <sz val="9"/>
      <color rgb="FF222222"/>
      <name val="돋움"/>
      <family val="2"/>
      <charset val="129"/>
    </font>
    <font>
      <sz val="10"/>
      <color rgb="FF222222"/>
      <name val="돋움"/>
      <family val="3"/>
      <charset val="129"/>
    </font>
    <font>
      <sz val="10"/>
      <color rgb="FF222222"/>
      <name val="돋움"/>
      <family val="2"/>
      <charset val="129"/>
    </font>
    <font>
      <sz val="10"/>
      <color rgb="FF434343"/>
      <name val="Roboto"/>
      <family val="2"/>
    </font>
    <font>
      <sz val="10"/>
      <color rgb="FF222222"/>
      <name val="Arial"/>
      <family val="2"/>
      <charset val="129"/>
    </font>
    <font>
      <sz val="10"/>
      <color rgb="FF434343"/>
      <name val="Arial"/>
      <family val="2"/>
    </font>
    <font>
      <sz val="10"/>
      <color rgb="FF434343"/>
      <name val="맑은 고딕"/>
      <family val="3"/>
      <charset val="129"/>
    </font>
    <font>
      <sz val="10"/>
      <color rgb="FF434343"/>
      <name val="Roboto"/>
      <family val="3"/>
      <charset val="129"/>
    </font>
    <font>
      <sz val="10"/>
      <color rgb="FF222222"/>
      <name val="Arial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/>
    <xf numFmtId="0" fontId="4" fillId="8" borderId="1" xfId="0" applyFont="1" applyFill="1" applyBorder="1"/>
    <xf numFmtId="0" fontId="4" fillId="10" borderId="1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0" fillId="0" borderId="4" xfId="0" applyBorder="1"/>
    <xf numFmtId="0" fontId="25" fillId="0" borderId="2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1" fillId="15" borderId="5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40" fillId="0" borderId="0" xfId="0" applyFont="1"/>
    <xf numFmtId="0" fontId="42" fillId="0" borderId="0" xfId="0" applyFont="1"/>
    <xf numFmtId="0" fontId="40" fillId="0" borderId="6" xfId="0" applyFont="1" applyBorder="1" applyAlignment="1">
      <alignment vertical="top" wrapText="1"/>
    </xf>
    <xf numFmtId="0" fontId="40" fillId="0" borderId="7" xfId="0" applyFont="1" applyBorder="1" applyAlignment="1">
      <alignment vertical="top" wrapText="1"/>
    </xf>
    <xf numFmtId="0" fontId="42" fillId="0" borderId="6" xfId="0" applyFont="1" applyBorder="1" applyAlignment="1">
      <alignment vertical="top" wrapText="1"/>
    </xf>
    <xf numFmtId="0" fontId="40" fillId="0" borderId="8" xfId="0" applyFont="1" applyBorder="1" applyAlignment="1">
      <alignment horizontal="center" wrapText="1"/>
    </xf>
    <xf numFmtId="0" fontId="40" fillId="0" borderId="9" xfId="0" applyFont="1" applyBorder="1" applyAlignment="1">
      <alignment horizontal="center" wrapText="1"/>
    </xf>
    <xf numFmtId="0" fontId="40" fillId="0" borderId="6" xfId="0" applyFont="1" applyBorder="1" applyAlignment="1">
      <alignment horizontal="center" wrapText="1"/>
    </xf>
    <xf numFmtId="0" fontId="40" fillId="0" borderId="7" xfId="0" applyFont="1" applyBorder="1" applyAlignment="1">
      <alignment horizontal="center" wrapText="1"/>
    </xf>
    <xf numFmtId="0" fontId="43" fillId="0" borderId="1" xfId="0" applyFont="1" applyBorder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14" borderId="0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 wrapText="1"/>
    </xf>
    <xf numFmtId="0" fontId="1" fillId="15" borderId="0" xfId="0" applyFont="1" applyFill="1" applyBorder="1" applyAlignment="1">
      <alignment horizontal="center" vertical="center" wrapText="1"/>
    </xf>
    <xf numFmtId="0" fontId="47" fillId="17" borderId="12" xfId="0" applyFont="1" applyFill="1" applyBorder="1" applyAlignment="1">
      <alignment vertical="center" wrapText="1"/>
    </xf>
    <xf numFmtId="0" fontId="47" fillId="18" borderId="13" xfId="0" applyFont="1" applyFill="1" applyBorder="1" applyAlignment="1">
      <alignment vertical="center" wrapText="1"/>
    </xf>
    <xf numFmtId="0" fontId="47" fillId="17" borderId="14" xfId="0" applyFont="1" applyFill="1" applyBorder="1" applyAlignment="1">
      <alignment vertical="center" wrapText="1"/>
    </xf>
    <xf numFmtId="0" fontId="48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7" fillId="18" borderId="15" xfId="0" applyFont="1" applyFill="1" applyBorder="1" applyAlignment="1">
      <alignment vertical="center" wrapText="1"/>
    </xf>
    <xf numFmtId="0" fontId="49" fillId="0" borderId="0" xfId="0" applyFont="1"/>
    <xf numFmtId="0" fontId="47" fillId="17" borderId="16" xfId="0" applyFont="1" applyFill="1" applyBorder="1" applyAlignment="1">
      <alignment vertical="center" wrapText="1"/>
    </xf>
    <xf numFmtId="0" fontId="51" fillId="18" borderId="15" xfId="0" applyFont="1" applyFill="1" applyBorder="1" applyAlignment="1">
      <alignment vertical="center" wrapText="1"/>
    </xf>
    <xf numFmtId="0" fontId="47" fillId="18" borderId="17" xfId="0" applyFont="1" applyFill="1" applyBorder="1" applyAlignment="1">
      <alignment vertical="center" wrapText="1"/>
    </xf>
    <xf numFmtId="0" fontId="4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topLeftCell="A7" zoomScaleNormal="100" workbookViewId="0">
      <selection activeCell="C15" sqref="C15"/>
    </sheetView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36" t="s">
        <v>111</v>
      </c>
      <c r="C2" s="36"/>
    </row>
    <row r="4" spans="2:3" ht="19.5" customHeight="1">
      <c r="B4" s="17" t="s">
        <v>112</v>
      </c>
      <c r="C4" s="18" t="s">
        <v>113</v>
      </c>
    </row>
    <row r="5" spans="2:3" ht="36.950000000000003" customHeight="1">
      <c r="B5" s="1" t="s">
        <v>0</v>
      </c>
      <c r="C5" s="18" t="s">
        <v>114</v>
      </c>
    </row>
    <row r="6" spans="2:3" ht="19.5" customHeight="1">
      <c r="B6" s="1" t="s">
        <v>1</v>
      </c>
      <c r="C6" s="3" t="s">
        <v>115</v>
      </c>
    </row>
    <row r="7" spans="2:3" ht="19.5" customHeight="1">
      <c r="B7" s="1" t="s">
        <v>2</v>
      </c>
      <c r="C7" s="3" t="s">
        <v>116</v>
      </c>
    </row>
    <row r="9" spans="2:3" ht="15" customHeight="1">
      <c r="B9" s="32" t="s">
        <v>117</v>
      </c>
      <c r="C9" s="33"/>
    </row>
    <row r="10" spans="2:3" ht="27">
      <c r="B10" s="5" t="s">
        <v>3</v>
      </c>
      <c r="C10" s="18" t="s">
        <v>118</v>
      </c>
    </row>
    <row r="11" spans="2:3" ht="40.5">
      <c r="B11" s="5" t="s">
        <v>119</v>
      </c>
      <c r="C11" s="18" t="s">
        <v>120</v>
      </c>
    </row>
    <row r="12" spans="2:3" ht="33.75" customHeight="1">
      <c r="B12" s="5" t="s">
        <v>121</v>
      </c>
      <c r="C12" s="2" t="s">
        <v>122</v>
      </c>
    </row>
    <row r="13" spans="2:3" ht="33.75" customHeight="1">
      <c r="B13" s="5" t="s">
        <v>123</v>
      </c>
      <c r="C13" s="3" t="s">
        <v>124</v>
      </c>
    </row>
    <row r="14" spans="2:3" ht="33.75" customHeight="1">
      <c r="B14" s="5" t="s">
        <v>125</v>
      </c>
      <c r="C14" s="2" t="s">
        <v>126</v>
      </c>
    </row>
    <row r="15" spans="2:3" ht="33.75" customHeight="1">
      <c r="B15" s="5" t="s">
        <v>4</v>
      </c>
      <c r="C15" s="18" t="s">
        <v>127</v>
      </c>
    </row>
    <row r="17" spans="2:3" ht="15" customHeight="1">
      <c r="B17" s="34" t="s">
        <v>5</v>
      </c>
      <c r="C17" s="35"/>
    </row>
    <row r="18" spans="2:3" ht="27.75" customHeight="1">
      <c r="B18" s="37" t="s">
        <v>128</v>
      </c>
      <c r="C18" s="38"/>
    </row>
    <row r="19" spans="2:3" ht="27.75" customHeight="1">
      <c r="B19" s="30" t="s">
        <v>7</v>
      </c>
      <c r="C19" s="31"/>
    </row>
    <row r="20" spans="2:3" ht="27.75" customHeight="1">
      <c r="B20" s="30" t="s">
        <v>8</v>
      </c>
      <c r="C20" s="31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F13"/>
  <sheetViews>
    <sheetView showGridLines="0" zoomScale="70" zoomScaleNormal="70" workbookViewId="0">
      <selection activeCell="D8" sqref="D8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57.140625" customWidth="1"/>
    <col min="5" max="6" width="30" customWidth="1"/>
  </cols>
  <sheetData>
    <row r="2" spans="2:6" ht="30" customHeight="1">
      <c r="B2" s="39" t="s">
        <v>9</v>
      </c>
      <c r="C2" s="40"/>
      <c r="D2" s="40"/>
      <c r="E2" s="40"/>
      <c r="F2" s="40"/>
    </row>
    <row r="4" spans="2:6" ht="19.5" customHeight="1">
      <c r="B4" s="7" t="s">
        <v>10</v>
      </c>
      <c r="C4" s="7" t="s">
        <v>11</v>
      </c>
      <c r="D4" s="7" t="s">
        <v>12</v>
      </c>
      <c r="E4" s="7" t="s">
        <v>13</v>
      </c>
      <c r="F4" s="8" t="s">
        <v>14</v>
      </c>
    </row>
    <row r="5" spans="2:6" ht="129.75" customHeight="1">
      <c r="B5" s="26" t="s">
        <v>146</v>
      </c>
      <c r="C5" s="27" t="s">
        <v>15</v>
      </c>
      <c r="D5" s="18" t="s">
        <v>141</v>
      </c>
      <c r="E5" s="28" t="s">
        <v>142</v>
      </c>
      <c r="F5" s="27" t="s">
        <v>16</v>
      </c>
    </row>
    <row r="6" spans="2:6" ht="129.75" customHeight="1">
      <c r="B6" s="26" t="s">
        <v>147</v>
      </c>
      <c r="C6" s="27" t="s">
        <v>17</v>
      </c>
      <c r="D6" s="18" t="s">
        <v>143</v>
      </c>
      <c r="E6" s="27" t="s">
        <v>18</v>
      </c>
      <c r="F6" s="27" t="s">
        <v>19</v>
      </c>
    </row>
    <row r="7" spans="2:6" ht="129.75" customHeight="1">
      <c r="B7" s="26" t="s">
        <v>20</v>
      </c>
      <c r="C7" s="6" t="s">
        <v>21</v>
      </c>
      <c r="D7" s="25" t="s">
        <v>144</v>
      </c>
      <c r="E7" s="6" t="s">
        <v>22</v>
      </c>
      <c r="F7" s="6" t="s">
        <v>23</v>
      </c>
    </row>
    <row r="8" spans="2:6" ht="129.75" customHeight="1">
      <c r="B8" s="29" t="s">
        <v>148</v>
      </c>
      <c r="C8" s="6" t="s">
        <v>24</v>
      </c>
      <c r="D8" s="18" t="s">
        <v>145</v>
      </c>
      <c r="E8" s="27" t="s">
        <v>25</v>
      </c>
      <c r="F8" s="6" t="s">
        <v>26</v>
      </c>
    </row>
    <row r="9" spans="2:6" ht="14.1" customHeight="1"/>
    <row r="10" spans="2:6" ht="15" customHeight="1">
      <c r="B10" s="41" t="s">
        <v>129</v>
      </c>
      <c r="C10" s="42"/>
      <c r="D10" s="42"/>
      <c r="E10" s="42"/>
      <c r="F10" s="33"/>
    </row>
    <row r="11" spans="2:6" ht="24" customHeight="1">
      <c r="B11" s="6" t="s">
        <v>6</v>
      </c>
      <c r="C11" s="43" t="s">
        <v>130</v>
      </c>
      <c r="D11" s="42"/>
      <c r="E11" s="42"/>
      <c r="F11" s="42"/>
    </row>
    <row r="12" spans="2:6" ht="24" customHeight="1">
      <c r="B12" s="6" t="s">
        <v>6</v>
      </c>
      <c r="C12" s="43" t="s">
        <v>131</v>
      </c>
      <c r="D12" s="42"/>
      <c r="E12" s="42"/>
      <c r="F12" s="42"/>
    </row>
    <row r="13" spans="2:6" ht="24" customHeight="1">
      <c r="B13" s="6" t="s">
        <v>6</v>
      </c>
      <c r="C13" s="43" t="s">
        <v>132</v>
      </c>
      <c r="D13" s="42"/>
      <c r="E13" s="42"/>
      <c r="F13" s="42"/>
    </row>
  </sheetData>
  <mergeCells count="5">
    <mergeCell ref="B2:F2"/>
    <mergeCell ref="B10:F10"/>
    <mergeCell ref="C11:F11"/>
    <mergeCell ref="C12:F12"/>
    <mergeCell ref="C13:F1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3"/>
  <sheetViews>
    <sheetView showGridLines="0" zoomScaleNormal="100" workbookViewId="0">
      <selection activeCell="C19" sqref="C19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44" t="s">
        <v>27</v>
      </c>
      <c r="C2" s="40"/>
      <c r="D2" s="40"/>
      <c r="E2" s="40"/>
      <c r="F2" s="40"/>
    </row>
    <row r="3" spans="2:6" ht="28.35" customHeight="1">
      <c r="B3" s="45" t="s">
        <v>140</v>
      </c>
      <c r="C3" s="42"/>
      <c r="D3" s="42"/>
      <c r="E3" s="42"/>
      <c r="F3" s="33"/>
    </row>
    <row r="4" spans="2:6" ht="35.65" customHeight="1">
      <c r="B4" s="9" t="s">
        <v>28</v>
      </c>
      <c r="C4" s="9" t="s">
        <v>29</v>
      </c>
      <c r="D4" s="9" t="s">
        <v>30</v>
      </c>
      <c r="E4" s="19" t="s">
        <v>133</v>
      </c>
      <c r="F4" s="9" t="s">
        <v>31</v>
      </c>
    </row>
    <row r="5" spans="2:6" ht="15" customHeight="1" thickBot="1">
      <c r="B5" s="10" t="s">
        <v>32</v>
      </c>
      <c r="C5" s="10"/>
      <c r="D5" s="10"/>
      <c r="E5" s="10"/>
      <c r="F5" s="10"/>
    </row>
    <row r="6" spans="2:6" ht="30" customHeight="1" thickBot="1">
      <c r="B6" s="3" t="s">
        <v>149</v>
      </c>
      <c r="C6" s="60" t="s">
        <v>150</v>
      </c>
      <c r="D6" s="61" t="s">
        <v>158</v>
      </c>
      <c r="E6" s="61" t="s">
        <v>166</v>
      </c>
      <c r="F6" s="61" t="s">
        <v>174</v>
      </c>
    </row>
    <row r="7" spans="2:6" ht="30" customHeight="1" thickBot="1">
      <c r="B7" s="3" t="s">
        <v>149</v>
      </c>
      <c r="C7" s="61" t="s">
        <v>151</v>
      </c>
      <c r="D7" s="62" t="s">
        <v>159</v>
      </c>
      <c r="E7" s="62" t="s">
        <v>167</v>
      </c>
      <c r="F7" s="62" t="s">
        <v>175</v>
      </c>
    </row>
    <row r="8" spans="2:6" ht="30" customHeight="1" thickBot="1">
      <c r="B8" s="3" t="s">
        <v>149</v>
      </c>
      <c r="C8" s="62" t="s">
        <v>152</v>
      </c>
      <c r="D8" s="62" t="s">
        <v>160</v>
      </c>
      <c r="E8" s="62" t="s">
        <v>168</v>
      </c>
      <c r="F8" s="62" t="s">
        <v>176</v>
      </c>
    </row>
    <row r="9" spans="2:6" ht="30" customHeight="1" thickBot="1">
      <c r="B9" s="3" t="s">
        <v>149</v>
      </c>
      <c r="C9" s="62" t="s">
        <v>153</v>
      </c>
      <c r="D9" s="62" t="s">
        <v>161</v>
      </c>
      <c r="E9" s="62" t="s">
        <v>169</v>
      </c>
      <c r="F9" s="62" t="s">
        <v>177</v>
      </c>
    </row>
    <row r="10" spans="2:6" ht="30" customHeight="1" thickBot="1">
      <c r="B10" s="3" t="s">
        <v>149</v>
      </c>
      <c r="C10" s="62" t="s">
        <v>154</v>
      </c>
      <c r="D10" s="62" t="s">
        <v>162</v>
      </c>
      <c r="E10" s="62" t="s">
        <v>170</v>
      </c>
      <c r="F10" s="62" t="s">
        <v>178</v>
      </c>
    </row>
    <row r="11" spans="2:6" ht="30" customHeight="1" thickBot="1">
      <c r="B11" s="3" t="s">
        <v>149</v>
      </c>
      <c r="C11" s="62" t="s">
        <v>155</v>
      </c>
      <c r="D11" s="62" t="s">
        <v>163</v>
      </c>
      <c r="E11" s="62" t="s">
        <v>171</v>
      </c>
      <c r="F11" s="62" t="s">
        <v>179</v>
      </c>
    </row>
    <row r="12" spans="2:6" ht="30" customHeight="1" thickBot="1">
      <c r="B12" s="3" t="s">
        <v>149</v>
      </c>
      <c r="C12" s="62" t="s">
        <v>156</v>
      </c>
      <c r="D12" s="62" t="s">
        <v>164</v>
      </c>
      <c r="E12" s="62" t="s">
        <v>172</v>
      </c>
      <c r="F12" s="62" t="s">
        <v>180</v>
      </c>
    </row>
    <row r="13" spans="2:6" ht="30" customHeight="1" thickBot="1">
      <c r="B13" s="3" t="s">
        <v>149</v>
      </c>
      <c r="C13" s="62" t="s">
        <v>157</v>
      </c>
      <c r="D13" s="62" t="s">
        <v>165</v>
      </c>
      <c r="E13" s="62" t="s">
        <v>173</v>
      </c>
      <c r="F13" s="62" t="s">
        <v>181</v>
      </c>
    </row>
    <row r="14" spans="2:6" ht="30" customHeight="1" thickBot="1">
      <c r="B14" s="3" t="s">
        <v>182</v>
      </c>
      <c r="C14" s="59" t="s">
        <v>183</v>
      </c>
      <c r="D14" s="59" t="s">
        <v>184</v>
      </c>
      <c r="E14" s="59" t="s">
        <v>185</v>
      </c>
      <c r="F14" s="59" t="s">
        <v>186</v>
      </c>
    </row>
    <row r="15" spans="2:6" ht="30" customHeight="1" thickBot="1">
      <c r="B15" s="3" t="s">
        <v>200</v>
      </c>
      <c r="C15" s="63" t="s">
        <v>190</v>
      </c>
      <c r="D15" s="61" t="s">
        <v>191</v>
      </c>
      <c r="E15" s="61" t="s">
        <v>194</v>
      </c>
      <c r="F15" s="61" t="s">
        <v>197</v>
      </c>
    </row>
    <row r="16" spans="2:6" ht="30" customHeight="1" thickBot="1">
      <c r="B16" s="3" t="s">
        <v>200</v>
      </c>
      <c r="C16" s="62" t="s">
        <v>188</v>
      </c>
      <c r="D16" s="62" t="s">
        <v>192</v>
      </c>
      <c r="E16" s="62" t="s">
        <v>195</v>
      </c>
      <c r="F16" s="62" t="s">
        <v>198</v>
      </c>
    </row>
    <row r="17" spans="2:6" ht="30" customHeight="1" thickBot="1">
      <c r="B17" s="3" t="s">
        <v>200</v>
      </c>
      <c r="C17" s="62" t="s">
        <v>189</v>
      </c>
      <c r="D17" s="62" t="s">
        <v>193</v>
      </c>
      <c r="E17" s="62" t="s">
        <v>196</v>
      </c>
      <c r="F17" s="62" t="s">
        <v>199</v>
      </c>
    </row>
    <row r="18" spans="2:6" ht="30" customHeight="1">
      <c r="B18" s="3"/>
      <c r="C18" s="2"/>
      <c r="D18" s="2"/>
      <c r="E18" s="2"/>
      <c r="F18" s="2"/>
    </row>
    <row r="19" spans="2:6" ht="30" customHeight="1">
      <c r="B19" s="3"/>
      <c r="C19" s="2"/>
      <c r="D19" s="2"/>
      <c r="E19" s="2"/>
      <c r="F19" s="2"/>
    </row>
    <row r="20" spans="2:6" ht="30" customHeight="1">
      <c r="B20" s="3"/>
      <c r="C20" s="2"/>
      <c r="D20" s="2"/>
      <c r="E20" s="2"/>
      <c r="F20" s="2"/>
    </row>
    <row r="21" spans="2:6" ht="30" customHeight="1">
      <c r="B21" s="3"/>
      <c r="C21" s="2"/>
      <c r="D21" s="2"/>
      <c r="E21" s="2"/>
      <c r="F21" s="2"/>
    </row>
    <row r="22" spans="2:6" ht="30" customHeight="1">
      <c r="B22" s="3"/>
      <c r="C22" s="2"/>
      <c r="D22" s="2"/>
      <c r="E22" s="2"/>
      <c r="F22" s="2"/>
    </row>
    <row r="23" spans="2:6" ht="30" customHeight="1">
      <c r="B23" s="3"/>
      <c r="C23" s="2"/>
      <c r="D23" s="2"/>
      <c r="E23" s="2"/>
      <c r="F23" s="2"/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I15"/>
  <sheetViews>
    <sheetView showGridLines="0" zoomScaleNormal="100" workbookViewId="0">
      <selection activeCell="C19" sqref="C19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9" ht="30" customHeight="1">
      <c r="B2" s="39" t="s">
        <v>33</v>
      </c>
      <c r="C2" s="40"/>
      <c r="D2" s="40"/>
      <c r="E2" s="40"/>
      <c r="F2" s="40"/>
      <c r="G2" s="40"/>
      <c r="H2" s="40"/>
    </row>
    <row r="3" spans="2:9" ht="72.400000000000006" customHeight="1">
      <c r="B3" s="46" t="s">
        <v>135</v>
      </c>
      <c r="C3" s="42"/>
      <c r="D3" s="42"/>
      <c r="E3" s="42"/>
      <c r="F3" s="42"/>
      <c r="G3" s="42"/>
      <c r="H3" s="33"/>
    </row>
    <row r="4" spans="2:9" ht="18" customHeight="1">
      <c r="B4" s="47" t="s">
        <v>34</v>
      </c>
      <c r="C4" s="42"/>
      <c r="D4" s="42"/>
      <c r="E4" s="42"/>
      <c r="F4" s="42"/>
      <c r="G4" s="42"/>
      <c r="H4" s="33"/>
    </row>
    <row r="5" spans="2:9" ht="31.5" customHeight="1" thickBot="1">
      <c r="B5" s="11" t="s">
        <v>35</v>
      </c>
      <c r="C5" s="11" t="s">
        <v>36</v>
      </c>
      <c r="D5" s="21" t="s">
        <v>37</v>
      </c>
      <c r="E5" s="12" t="s">
        <v>38</v>
      </c>
      <c r="F5" s="12" t="s">
        <v>39</v>
      </c>
      <c r="G5" s="11" t="s">
        <v>40</v>
      </c>
      <c r="H5" s="12" t="s">
        <v>41</v>
      </c>
    </row>
    <row r="6" spans="2:9" ht="33.75" customHeight="1" thickBot="1">
      <c r="B6" s="61" t="s">
        <v>187</v>
      </c>
      <c r="C6" s="61" t="s">
        <v>208</v>
      </c>
      <c r="D6" s="66">
        <v>3</v>
      </c>
      <c r="E6" s="64">
        <v>3</v>
      </c>
      <c r="F6" s="64">
        <v>5</v>
      </c>
      <c r="G6" s="6">
        <f t="shared" ref="G6:G13" si="0">IF(OR(E6="",F6=""),"",E6*F6*2)</f>
        <v>30</v>
      </c>
      <c r="H6" s="6" t="s">
        <v>216</v>
      </c>
    </row>
    <row r="7" spans="2:9" ht="33.75" customHeight="1" thickBot="1">
      <c r="B7" s="62" t="s">
        <v>201</v>
      </c>
      <c r="C7" s="62" t="s">
        <v>209</v>
      </c>
      <c r="D7" s="67">
        <v>3</v>
      </c>
      <c r="E7" s="65">
        <v>3</v>
      </c>
      <c r="F7" s="65">
        <v>3</v>
      </c>
      <c r="G7" s="6">
        <f t="shared" si="0"/>
        <v>18</v>
      </c>
      <c r="H7" s="6" t="s">
        <v>216</v>
      </c>
    </row>
    <row r="8" spans="2:9" ht="33.75" customHeight="1" thickBot="1">
      <c r="B8" s="62" t="s">
        <v>202</v>
      </c>
      <c r="C8" s="62" t="s">
        <v>210</v>
      </c>
      <c r="D8" s="67">
        <v>4</v>
      </c>
      <c r="E8" s="65">
        <v>2</v>
      </c>
      <c r="F8" s="65">
        <v>2</v>
      </c>
      <c r="G8" s="6">
        <f t="shared" si="0"/>
        <v>8</v>
      </c>
      <c r="H8" s="6" t="s">
        <v>217</v>
      </c>
    </row>
    <row r="9" spans="2:9" ht="33.75" customHeight="1" thickBot="1">
      <c r="B9" s="62" t="s">
        <v>203</v>
      </c>
      <c r="C9" s="62" t="s">
        <v>211</v>
      </c>
      <c r="D9" s="67">
        <v>4</v>
      </c>
      <c r="E9" s="65">
        <v>2</v>
      </c>
      <c r="F9" s="65">
        <v>3</v>
      </c>
      <c r="G9" s="6">
        <f t="shared" si="0"/>
        <v>12</v>
      </c>
      <c r="H9" s="6" t="s">
        <v>217</v>
      </c>
    </row>
    <row r="10" spans="2:9" ht="33.75" customHeight="1" thickBot="1">
      <c r="B10" s="62" t="s">
        <v>204</v>
      </c>
      <c r="C10" s="62" t="s">
        <v>212</v>
      </c>
      <c r="D10" s="67">
        <v>3</v>
      </c>
      <c r="E10" s="65">
        <v>2</v>
      </c>
      <c r="F10" s="65">
        <v>2</v>
      </c>
      <c r="G10" s="6">
        <f t="shared" si="0"/>
        <v>8</v>
      </c>
      <c r="H10" s="6" t="s">
        <v>218</v>
      </c>
    </row>
    <row r="11" spans="2:9" ht="33.75" customHeight="1" thickBot="1">
      <c r="B11" s="62" t="s">
        <v>205</v>
      </c>
      <c r="C11" s="62" t="s">
        <v>213</v>
      </c>
      <c r="D11" s="67">
        <v>5</v>
      </c>
      <c r="E11" s="65">
        <v>1</v>
      </c>
      <c r="F11" s="65">
        <v>3</v>
      </c>
      <c r="G11" s="6">
        <f t="shared" si="0"/>
        <v>6</v>
      </c>
      <c r="H11" s="6" t="s">
        <v>217</v>
      </c>
    </row>
    <row r="12" spans="2:9" ht="33.75" customHeight="1" thickBot="1">
      <c r="B12" s="62" t="s">
        <v>206</v>
      </c>
      <c r="C12" s="62" t="s">
        <v>214</v>
      </c>
      <c r="D12" s="67">
        <v>3</v>
      </c>
      <c r="E12" s="65">
        <v>2</v>
      </c>
      <c r="F12" s="65">
        <v>2</v>
      </c>
      <c r="G12" s="6">
        <f t="shared" si="0"/>
        <v>8</v>
      </c>
      <c r="H12" s="6" t="s">
        <v>217</v>
      </c>
    </row>
    <row r="13" spans="2:9" ht="33.75" customHeight="1" thickBot="1">
      <c r="B13" s="62" t="s">
        <v>207</v>
      </c>
      <c r="C13" s="62" t="s">
        <v>215</v>
      </c>
      <c r="D13" s="67">
        <v>3</v>
      </c>
      <c r="E13" s="65">
        <v>2</v>
      </c>
      <c r="F13" s="65">
        <v>2</v>
      </c>
      <c r="G13" s="6">
        <f t="shared" si="0"/>
        <v>8</v>
      </c>
      <c r="H13" s="6" t="s">
        <v>218</v>
      </c>
    </row>
    <row r="15" spans="2:9" ht="118.7" customHeight="1">
      <c r="B15" s="20" t="s">
        <v>134</v>
      </c>
      <c r="C15" s="68" t="s">
        <v>219</v>
      </c>
      <c r="D15" s="42"/>
      <c r="E15" s="42"/>
      <c r="F15" s="42"/>
      <c r="G15" s="42"/>
      <c r="H15" s="42"/>
      <c r="I15" s="33"/>
    </row>
  </sheetData>
  <mergeCells count="4">
    <mergeCell ref="B3:H3"/>
    <mergeCell ref="B2:H2"/>
    <mergeCell ref="B4:H4"/>
    <mergeCell ref="C15:I15"/>
  </mergeCells>
  <phoneticPr fontId="17" type="noConversion"/>
  <conditionalFormatting sqref="G6:G13">
    <cfRule type="expression" dxfId="1" priority="2">
      <formula>AND(G6&lt;&gt;"",G6&gt;=32)</formula>
    </cfRule>
  </conditionalFormatting>
  <dataValidations count="1"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9"/>
  <sheetViews>
    <sheetView showGridLines="0" zoomScaleNormal="100" workbookViewId="0">
      <selection activeCell="C26" sqref="C26"/>
    </sheetView>
  </sheetViews>
  <sheetFormatPr defaultColWidth="8.7109375" defaultRowHeight="15"/>
  <cols>
    <col min="1" max="1" width="4" customWidth="1"/>
    <col min="2" max="2" width="16" customWidth="1"/>
    <col min="3" max="3" width="66" customWidth="1"/>
    <col min="4" max="4" width="4" customWidth="1"/>
  </cols>
  <sheetData>
    <row r="2" spans="2:3" ht="30" customHeight="1">
      <c r="B2" s="44" t="s">
        <v>42</v>
      </c>
      <c r="C2" s="40"/>
    </row>
    <row r="3" spans="2:3" ht="18" customHeight="1">
      <c r="B3" s="48" t="s">
        <v>43</v>
      </c>
      <c r="C3" s="33"/>
    </row>
    <row r="4" spans="2:3" ht="30" customHeight="1">
      <c r="B4" s="1" t="s">
        <v>44</v>
      </c>
      <c r="C4" s="2" t="s">
        <v>220</v>
      </c>
    </row>
    <row r="5" spans="2:3" ht="30" customHeight="1">
      <c r="B5" s="1" t="s">
        <v>45</v>
      </c>
      <c r="C5" s="2"/>
    </row>
    <row r="6" spans="2:3" ht="30" customHeight="1">
      <c r="B6" s="1" t="s">
        <v>46</v>
      </c>
      <c r="C6" s="2" t="s">
        <v>221</v>
      </c>
    </row>
    <row r="7" spans="2:3" ht="30" customHeight="1">
      <c r="B7" s="1" t="s">
        <v>47</v>
      </c>
      <c r="C7" s="2"/>
    </row>
    <row r="9" spans="2:3" ht="15" customHeight="1">
      <c r="B9" s="13" t="s">
        <v>48</v>
      </c>
      <c r="C9" s="13"/>
    </row>
    <row r="10" spans="2:3" ht="25.5" customHeight="1">
      <c r="B10" s="72" t="s">
        <v>222</v>
      </c>
      <c r="C10" s="50"/>
    </row>
    <row r="11" spans="2:3" ht="25.5" customHeight="1">
      <c r="B11" s="72" t="s">
        <v>223</v>
      </c>
      <c r="C11" s="50"/>
    </row>
    <row r="12" spans="2:3" ht="25.5" customHeight="1">
      <c r="B12" s="72" t="s">
        <v>224</v>
      </c>
      <c r="C12" s="50"/>
    </row>
    <row r="13" spans="2:3" ht="25.5" customHeight="1">
      <c r="B13" s="49" t="s">
        <v>225</v>
      </c>
      <c r="C13" s="50"/>
    </row>
    <row r="14" spans="2:3" ht="25.5" customHeight="1">
      <c r="B14" s="72" t="s">
        <v>226</v>
      </c>
      <c r="C14" s="50"/>
    </row>
    <row r="16" spans="2:3" ht="15" customHeight="1">
      <c r="B16" s="14" t="s">
        <v>49</v>
      </c>
      <c r="C16" s="10"/>
    </row>
    <row r="17" spans="2:3" ht="25.5" customHeight="1">
      <c r="B17" s="72" t="s">
        <v>228</v>
      </c>
      <c r="C17" s="50"/>
    </row>
    <row r="18" spans="2:3" ht="25.5" customHeight="1">
      <c r="B18" s="72" t="s">
        <v>227</v>
      </c>
      <c r="C18" s="50"/>
    </row>
    <row r="19" spans="2:3" ht="25.5" customHeight="1">
      <c r="B19" s="72" t="s">
        <v>229</v>
      </c>
      <c r="C19" s="50"/>
    </row>
    <row r="21" spans="2:3" ht="15" customHeight="1">
      <c r="B21" s="15" t="s">
        <v>50</v>
      </c>
      <c r="C21" s="15"/>
    </row>
    <row r="22" spans="2:3" ht="25.5" customHeight="1">
      <c r="B22" s="72" t="s">
        <v>230</v>
      </c>
      <c r="C22" s="50"/>
    </row>
    <row r="23" spans="2:3" ht="25.5" customHeight="1">
      <c r="B23" s="72" t="s">
        <v>231</v>
      </c>
      <c r="C23" s="50"/>
    </row>
    <row r="24" spans="2:3" ht="25.5" customHeight="1">
      <c r="B24" s="72" t="s">
        <v>232</v>
      </c>
      <c r="C24" s="50"/>
    </row>
    <row r="26" spans="2:3" ht="15" customHeight="1">
      <c r="B26" s="4" t="s">
        <v>51</v>
      </c>
      <c r="C26" s="4"/>
    </row>
    <row r="27" spans="2:3" ht="25.5" customHeight="1">
      <c r="B27" s="49"/>
      <c r="C27" s="50"/>
    </row>
    <row r="28" spans="2:3" ht="25.5" customHeight="1">
      <c r="B28" s="49"/>
      <c r="C28" s="50"/>
    </row>
    <row r="29" spans="2:3" ht="25.5" customHeight="1">
      <c r="B29" s="49"/>
      <c r="C29" s="50"/>
    </row>
  </sheetData>
  <mergeCells count="16">
    <mergeCell ref="B29:C29"/>
    <mergeCell ref="B22:C22"/>
    <mergeCell ref="B23:C23"/>
    <mergeCell ref="B24:C24"/>
    <mergeCell ref="B27:C27"/>
    <mergeCell ref="B28:C28"/>
    <mergeCell ref="B13:C13"/>
    <mergeCell ref="B14:C14"/>
    <mergeCell ref="B17:C17"/>
    <mergeCell ref="B18:C18"/>
    <mergeCell ref="B19:C19"/>
    <mergeCell ref="B3:C3"/>
    <mergeCell ref="B2:C2"/>
    <mergeCell ref="B10:C10"/>
    <mergeCell ref="B11:C11"/>
    <mergeCell ref="B12:C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66"/>
  <sheetViews>
    <sheetView showGridLines="0" tabSelected="1" topLeftCell="A4" zoomScaleNormal="100" workbookViewId="0">
      <selection activeCell="R11" sqref="R11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52" t="s">
        <v>52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2:13" ht="79.7" customHeight="1">
      <c r="B3" s="51" t="s">
        <v>136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33"/>
    </row>
    <row r="4" spans="2:13" ht="25.5" customHeight="1" thickBot="1">
      <c r="B4" s="16" t="s">
        <v>53</v>
      </c>
      <c r="C4" s="12" t="s">
        <v>54</v>
      </c>
      <c r="D4" s="12" t="s">
        <v>55</v>
      </c>
      <c r="E4" s="12" t="s">
        <v>56</v>
      </c>
      <c r="F4" s="24" t="s">
        <v>138</v>
      </c>
      <c r="G4" s="24" t="s">
        <v>139</v>
      </c>
      <c r="H4" s="21" t="s">
        <v>57</v>
      </c>
      <c r="I4" s="23" t="s">
        <v>137</v>
      </c>
      <c r="J4" s="12" t="s">
        <v>58</v>
      </c>
      <c r="K4" s="22">
        <v>1</v>
      </c>
      <c r="L4" s="22">
        <v>2</v>
      </c>
      <c r="M4" s="22">
        <v>3</v>
      </c>
    </row>
    <row r="5" spans="2:13" ht="30" customHeight="1" thickBot="1">
      <c r="B5" s="6">
        <v>1</v>
      </c>
      <c r="C5" s="6" t="s">
        <v>59</v>
      </c>
      <c r="D5" s="81" t="s">
        <v>233</v>
      </c>
      <c r="E5" s="84" t="s">
        <v>235</v>
      </c>
      <c r="F5" s="6">
        <v>1</v>
      </c>
      <c r="G5" s="6">
        <v>1</v>
      </c>
      <c r="H5" s="6">
        <f>IF(OR(F5="",G5=""),"",G5-F5+1)</f>
        <v>1</v>
      </c>
      <c r="I5" s="6">
        <v>100</v>
      </c>
      <c r="J5" s="6"/>
      <c r="K5" s="3"/>
      <c r="L5" s="3"/>
      <c r="M5" s="3"/>
    </row>
    <row r="6" spans="2:13" ht="30" customHeight="1" thickBot="1">
      <c r="B6" s="6">
        <v>2</v>
      </c>
      <c r="C6" s="6" t="s">
        <v>59</v>
      </c>
      <c r="D6" s="82" t="s">
        <v>234</v>
      </c>
      <c r="E6" s="85" t="s">
        <v>236</v>
      </c>
      <c r="F6" s="6">
        <v>1</v>
      </c>
      <c r="G6" s="6">
        <v>1</v>
      </c>
      <c r="H6" s="6">
        <f>IF(OR(F6="",G6=""),"",G6-F6+1)</f>
        <v>1</v>
      </c>
      <c r="I6" s="6">
        <v>100</v>
      </c>
      <c r="J6" s="6"/>
      <c r="K6" s="3"/>
      <c r="L6" s="3"/>
      <c r="M6" s="3"/>
    </row>
    <row r="7" spans="2:13" ht="30" customHeight="1" thickBot="1">
      <c r="B7" s="71">
        <v>3</v>
      </c>
      <c r="C7" s="6" t="s">
        <v>60</v>
      </c>
      <c r="D7" s="86" t="s">
        <v>237</v>
      </c>
      <c r="E7" s="91" t="s">
        <v>275</v>
      </c>
      <c r="F7" s="6">
        <v>2</v>
      </c>
      <c r="G7" s="6">
        <v>2</v>
      </c>
      <c r="H7" s="6">
        <f>IF(OR(F7="",G7=""),"",G7-F7+1)</f>
        <v>1</v>
      </c>
      <c r="I7" s="6"/>
      <c r="J7" s="6"/>
      <c r="K7" s="3"/>
      <c r="L7" s="3"/>
      <c r="M7" s="3"/>
    </row>
    <row r="8" spans="2:13" ht="30" customHeight="1" thickBot="1">
      <c r="B8" s="71">
        <v>4</v>
      </c>
      <c r="C8" s="71" t="s">
        <v>60</v>
      </c>
      <c r="D8" s="83" t="s">
        <v>238</v>
      </c>
      <c r="E8" s="91" t="s">
        <v>275</v>
      </c>
      <c r="F8" s="6">
        <v>2</v>
      </c>
      <c r="G8" s="6">
        <v>2</v>
      </c>
      <c r="H8" s="6">
        <f>IF(OR(F8="",G8=""),"",G8-F8+1)</f>
        <v>1</v>
      </c>
      <c r="I8" s="6"/>
      <c r="J8" s="6"/>
      <c r="K8" s="3"/>
      <c r="L8" s="3"/>
      <c r="M8" s="3"/>
    </row>
    <row r="9" spans="2:13" ht="30" customHeight="1" thickBot="1">
      <c r="B9" s="71">
        <v>5</v>
      </c>
      <c r="C9" s="71" t="s">
        <v>60</v>
      </c>
      <c r="D9" s="82" t="s">
        <v>239</v>
      </c>
      <c r="E9" s="91" t="s">
        <v>276</v>
      </c>
      <c r="F9" s="6">
        <v>1</v>
      </c>
      <c r="G9" s="6">
        <v>2</v>
      </c>
      <c r="H9" s="6">
        <f>IF(OR(F9="",G9=""),"",G9-F9+1)</f>
        <v>2</v>
      </c>
      <c r="I9" s="6"/>
      <c r="J9" s="6"/>
      <c r="K9" s="3"/>
      <c r="L9" s="3"/>
      <c r="M9" s="3"/>
    </row>
    <row r="10" spans="2:13" ht="30" customHeight="1" thickBot="1">
      <c r="B10" s="71">
        <v>6</v>
      </c>
      <c r="C10" s="71" t="s">
        <v>60</v>
      </c>
      <c r="D10" s="83" t="s">
        <v>240</v>
      </c>
      <c r="E10" s="91" t="s">
        <v>276</v>
      </c>
      <c r="F10" s="6">
        <v>2</v>
      </c>
      <c r="G10" s="6">
        <v>2</v>
      </c>
      <c r="H10" s="6">
        <f>IF(OR(F10="",G10=""),"",G10-F10+1)</f>
        <v>1</v>
      </c>
      <c r="I10" s="6"/>
      <c r="J10" s="6"/>
      <c r="K10" s="3"/>
      <c r="L10" s="3"/>
      <c r="M10" s="3"/>
    </row>
    <row r="11" spans="2:13" ht="30" customHeight="1" thickBot="1">
      <c r="B11" s="71">
        <v>7</v>
      </c>
      <c r="C11" s="71" t="s">
        <v>60</v>
      </c>
      <c r="D11" s="82" t="s">
        <v>241</v>
      </c>
      <c r="E11" s="6" t="s">
        <v>277</v>
      </c>
      <c r="F11" s="6">
        <v>2</v>
      </c>
      <c r="G11" s="6">
        <v>2</v>
      </c>
      <c r="H11" s="6">
        <f>IF(OR(F11="",G11=""),"",G11-F11+1)</f>
        <v>1</v>
      </c>
      <c r="I11" s="6"/>
      <c r="J11" s="6"/>
      <c r="K11" s="3"/>
      <c r="L11" s="3"/>
      <c r="M11" s="3"/>
    </row>
    <row r="12" spans="2:13" ht="30" customHeight="1" thickBot="1">
      <c r="B12" s="71">
        <v>8</v>
      </c>
      <c r="C12" s="6" t="s">
        <v>60</v>
      </c>
      <c r="D12" s="87" t="s">
        <v>242</v>
      </c>
      <c r="E12" s="91" t="s">
        <v>277</v>
      </c>
      <c r="F12" s="6">
        <v>2</v>
      </c>
      <c r="G12" s="6">
        <v>2</v>
      </c>
      <c r="H12" s="6">
        <f>IF(OR(F12="",G12=""),"",G12-F12+1)</f>
        <v>1</v>
      </c>
      <c r="I12" s="6"/>
      <c r="J12" s="6"/>
      <c r="K12" s="3"/>
      <c r="L12" s="3"/>
      <c r="M12" s="3"/>
    </row>
    <row r="13" spans="2:13" ht="30" customHeight="1" thickBot="1">
      <c r="B13" s="71">
        <v>9</v>
      </c>
      <c r="C13" s="6" t="s">
        <v>61</v>
      </c>
      <c r="D13" s="88" t="s">
        <v>243</v>
      </c>
      <c r="E13" s="91" t="s">
        <v>276</v>
      </c>
      <c r="F13" s="6">
        <v>2</v>
      </c>
      <c r="G13" s="6">
        <v>2</v>
      </c>
      <c r="H13" s="6">
        <f>IF(OR(F13="",G13=""),"",G13-F13+1)</f>
        <v>1</v>
      </c>
      <c r="I13" s="6"/>
      <c r="J13" s="6"/>
      <c r="K13" s="3"/>
      <c r="L13" s="3"/>
      <c r="M13" s="3"/>
    </row>
    <row r="14" spans="2:13" ht="30" customHeight="1" thickBot="1">
      <c r="B14" s="71">
        <v>10</v>
      </c>
      <c r="C14" s="6" t="s">
        <v>61</v>
      </c>
      <c r="D14" s="82" t="s">
        <v>244</v>
      </c>
      <c r="E14" s="91" t="s">
        <v>275</v>
      </c>
      <c r="F14" s="6">
        <v>2</v>
      </c>
      <c r="G14" s="6">
        <v>2</v>
      </c>
      <c r="H14" s="6">
        <f>IF(OR(F14="",G14=""),"",G14-F14+1)</f>
        <v>1</v>
      </c>
      <c r="I14" s="6"/>
      <c r="J14" s="6"/>
      <c r="K14" s="3"/>
      <c r="L14" s="3"/>
      <c r="M14" s="3"/>
    </row>
    <row r="15" spans="2:13" ht="30" customHeight="1" thickBot="1">
      <c r="B15" s="71">
        <v>11</v>
      </c>
      <c r="C15" s="71" t="s">
        <v>61</v>
      </c>
      <c r="D15" s="83" t="s">
        <v>245</v>
      </c>
      <c r="E15" s="91" t="s">
        <v>275</v>
      </c>
      <c r="F15" s="6">
        <v>2</v>
      </c>
      <c r="G15" s="6">
        <v>2</v>
      </c>
      <c r="H15" s="6">
        <f>IF(OR(F15="",G15=""),"",G15-F15+1)</f>
        <v>1</v>
      </c>
      <c r="I15" s="6"/>
      <c r="J15" s="6"/>
      <c r="K15" s="3"/>
      <c r="L15" s="3"/>
      <c r="M15" s="3"/>
    </row>
    <row r="16" spans="2:13" ht="30" customHeight="1" thickBot="1">
      <c r="B16" s="71">
        <v>12</v>
      </c>
      <c r="C16" s="71" t="s">
        <v>61</v>
      </c>
      <c r="D16" s="82" t="s">
        <v>246</v>
      </c>
      <c r="E16" s="91" t="s">
        <v>275</v>
      </c>
      <c r="F16" s="6">
        <v>2</v>
      </c>
      <c r="G16" s="6">
        <v>3</v>
      </c>
      <c r="H16" s="6">
        <f>IF(OR(F16="",G16=""),"",G16-F16+1)</f>
        <v>2</v>
      </c>
      <c r="I16" s="6"/>
      <c r="J16" s="6"/>
      <c r="K16" s="3"/>
      <c r="L16" s="3"/>
      <c r="M16" s="3"/>
    </row>
    <row r="17" spans="2:13" s="69" customFormat="1" ht="30" customHeight="1" thickBot="1">
      <c r="B17" s="71">
        <v>13</v>
      </c>
      <c r="C17" s="71" t="s">
        <v>61</v>
      </c>
      <c r="D17" s="83" t="s">
        <v>247</v>
      </c>
      <c r="E17" s="91" t="s">
        <v>275</v>
      </c>
      <c r="F17" s="71">
        <v>2</v>
      </c>
      <c r="G17" s="71">
        <v>3</v>
      </c>
      <c r="H17" s="71">
        <f>IF(OR(F17="",G17=""),"",G17-F17+1)</f>
        <v>2</v>
      </c>
      <c r="I17" s="71"/>
      <c r="J17" s="71"/>
      <c r="K17" s="70"/>
      <c r="L17" s="70"/>
      <c r="M17" s="70"/>
    </row>
    <row r="18" spans="2:13" s="69" customFormat="1" ht="30" customHeight="1" thickBot="1">
      <c r="B18" s="71">
        <v>14</v>
      </c>
      <c r="C18" s="71" t="s">
        <v>61</v>
      </c>
      <c r="D18" s="82" t="s">
        <v>248</v>
      </c>
      <c r="E18" s="71" t="s">
        <v>276</v>
      </c>
      <c r="F18" s="71">
        <v>2</v>
      </c>
      <c r="G18" s="71">
        <v>2</v>
      </c>
      <c r="H18" s="71">
        <f>IF(OR(F18="",G18=""),"",G18-F18+1)</f>
        <v>1</v>
      </c>
      <c r="I18" s="71"/>
      <c r="J18" s="71"/>
      <c r="K18" s="70"/>
      <c r="L18" s="70"/>
      <c r="M18" s="70"/>
    </row>
    <row r="19" spans="2:13" s="69" customFormat="1" ht="30" customHeight="1" thickBot="1">
      <c r="B19" s="71">
        <v>15</v>
      </c>
      <c r="C19" s="71" t="s">
        <v>61</v>
      </c>
      <c r="D19" s="83" t="s">
        <v>249</v>
      </c>
      <c r="E19" s="91" t="s">
        <v>276</v>
      </c>
      <c r="F19" s="71">
        <v>2</v>
      </c>
      <c r="G19" s="71">
        <v>2</v>
      </c>
      <c r="H19" s="71">
        <f>IF(OR(F19="",G19=""),"",G19-F19+1)</f>
        <v>1</v>
      </c>
      <c r="I19" s="71"/>
      <c r="J19" s="71"/>
      <c r="K19" s="70"/>
      <c r="L19" s="70"/>
      <c r="M19" s="70"/>
    </row>
    <row r="20" spans="2:13" s="69" customFormat="1" ht="30" customHeight="1" thickBot="1">
      <c r="B20" s="71">
        <v>16</v>
      </c>
      <c r="C20" s="71" t="s">
        <v>61</v>
      </c>
      <c r="D20" s="82" t="s">
        <v>250</v>
      </c>
      <c r="E20" s="91" t="s">
        <v>276</v>
      </c>
      <c r="F20" s="71">
        <v>2</v>
      </c>
      <c r="G20" s="71">
        <v>2</v>
      </c>
      <c r="H20" s="71">
        <f>IF(OR(F20="",G20=""),"",G20-F20+1)</f>
        <v>1</v>
      </c>
      <c r="I20" s="71"/>
      <c r="J20" s="71"/>
      <c r="K20" s="70"/>
      <c r="L20" s="70"/>
      <c r="M20" s="70"/>
    </row>
    <row r="21" spans="2:13" s="69" customFormat="1" ht="30" customHeight="1" thickBot="1">
      <c r="B21" s="71">
        <v>17</v>
      </c>
      <c r="C21" s="71" t="s">
        <v>61</v>
      </c>
      <c r="D21" s="83" t="s">
        <v>251</v>
      </c>
      <c r="E21" s="91" t="s">
        <v>277</v>
      </c>
      <c r="F21" s="71">
        <v>2</v>
      </c>
      <c r="G21" s="71">
        <v>2</v>
      </c>
      <c r="H21" s="71">
        <f>IF(OR(F21="",G21=""),"",G21-F21+1)</f>
        <v>1</v>
      </c>
      <c r="I21" s="71"/>
      <c r="J21" s="71"/>
      <c r="K21" s="70"/>
      <c r="L21" s="70"/>
      <c r="M21" s="70"/>
    </row>
    <row r="22" spans="2:13" ht="30" customHeight="1" thickBot="1">
      <c r="B22" s="71">
        <v>18</v>
      </c>
      <c r="C22" s="71" t="s">
        <v>61</v>
      </c>
      <c r="D22" s="82" t="s">
        <v>252</v>
      </c>
      <c r="E22" s="91" t="s">
        <v>277</v>
      </c>
      <c r="F22" s="6">
        <v>2</v>
      </c>
      <c r="G22" s="6">
        <v>2</v>
      </c>
      <c r="H22" s="6">
        <f>IF(OR(F22="",G22=""),"",G22-F22+1)</f>
        <v>1</v>
      </c>
      <c r="I22" s="6"/>
      <c r="J22" s="6"/>
      <c r="K22" s="3"/>
      <c r="L22" s="3"/>
      <c r="M22" s="3"/>
    </row>
    <row r="23" spans="2:13" s="69" customFormat="1" ht="30" customHeight="1" thickBot="1">
      <c r="B23" s="71">
        <v>19</v>
      </c>
      <c r="C23" s="71" t="s">
        <v>61</v>
      </c>
      <c r="D23" s="83" t="s">
        <v>253</v>
      </c>
      <c r="E23" s="91" t="s">
        <v>277</v>
      </c>
      <c r="F23" s="71">
        <v>2</v>
      </c>
      <c r="G23" s="71">
        <v>2</v>
      </c>
      <c r="H23" s="71">
        <f>IF(OR(F23="",G23=""),"",G23-F23+1)</f>
        <v>1</v>
      </c>
      <c r="I23" s="71"/>
      <c r="J23" s="71"/>
      <c r="K23" s="70"/>
      <c r="L23" s="70"/>
      <c r="M23" s="70"/>
    </row>
    <row r="24" spans="2:13" s="69" customFormat="1" ht="30" customHeight="1" thickBot="1">
      <c r="B24" s="71">
        <v>20</v>
      </c>
      <c r="C24" s="71" t="s">
        <v>61</v>
      </c>
      <c r="D24" s="82" t="s">
        <v>254</v>
      </c>
      <c r="E24" s="91" t="s">
        <v>277</v>
      </c>
      <c r="F24" s="71">
        <v>2</v>
      </c>
      <c r="G24" s="71">
        <v>2</v>
      </c>
      <c r="H24" s="71">
        <f>IF(OR(F24="",G24=""),"",G24-F24+1)</f>
        <v>1</v>
      </c>
      <c r="I24" s="71"/>
      <c r="J24" s="71"/>
      <c r="K24" s="70"/>
      <c r="L24" s="70"/>
      <c r="M24" s="70"/>
    </row>
    <row r="25" spans="2:13" s="69" customFormat="1" ht="30" customHeight="1" thickBot="1">
      <c r="B25" s="71">
        <v>21</v>
      </c>
      <c r="C25" s="71" t="s">
        <v>61</v>
      </c>
      <c r="D25" s="83" t="s">
        <v>255</v>
      </c>
      <c r="E25" s="91" t="s">
        <v>275</v>
      </c>
      <c r="F25" s="71">
        <v>2</v>
      </c>
      <c r="G25" s="71">
        <v>3</v>
      </c>
      <c r="H25" s="71">
        <f>IF(OR(F25="",G25=""),"",G25-F25+1)</f>
        <v>2</v>
      </c>
      <c r="I25" s="71"/>
      <c r="J25" s="71"/>
      <c r="K25" s="70"/>
      <c r="L25" s="70"/>
      <c r="M25" s="70"/>
    </row>
    <row r="26" spans="2:13" s="69" customFormat="1" ht="30" customHeight="1" thickBot="1">
      <c r="B26" s="71">
        <v>22</v>
      </c>
      <c r="C26" s="71" t="s">
        <v>61</v>
      </c>
      <c r="D26" s="82" t="s">
        <v>256</v>
      </c>
      <c r="E26" s="92" t="s">
        <v>276</v>
      </c>
      <c r="F26" s="71">
        <v>3</v>
      </c>
      <c r="G26" s="71">
        <v>3</v>
      </c>
      <c r="H26" s="71">
        <f>IF(OR(F26="",G26=""),"",G26-F26+1)</f>
        <v>1</v>
      </c>
      <c r="I26" s="71"/>
      <c r="J26" s="71"/>
      <c r="K26" s="70"/>
      <c r="L26" s="70"/>
      <c r="M26" s="70"/>
    </row>
    <row r="27" spans="2:13" s="69" customFormat="1" ht="30" customHeight="1" thickBot="1">
      <c r="B27" s="71">
        <v>23</v>
      </c>
      <c r="C27" s="71" t="s">
        <v>61</v>
      </c>
      <c r="D27" s="83" t="s">
        <v>257</v>
      </c>
      <c r="E27" s="91" t="s">
        <v>277</v>
      </c>
      <c r="F27" s="71">
        <v>2</v>
      </c>
      <c r="G27" s="71">
        <v>3</v>
      </c>
      <c r="H27" s="71">
        <f>IF(OR(F27="",G27=""),"",G27-F27+1)</f>
        <v>2</v>
      </c>
      <c r="I27" s="71"/>
      <c r="J27" s="71"/>
      <c r="K27" s="70"/>
      <c r="L27" s="70"/>
      <c r="M27" s="70"/>
    </row>
    <row r="28" spans="2:13" s="69" customFormat="1" ht="30" customHeight="1" thickBot="1">
      <c r="B28" s="71">
        <v>24</v>
      </c>
      <c r="C28" s="71" t="s">
        <v>61</v>
      </c>
      <c r="D28" s="82" t="s">
        <v>258</v>
      </c>
      <c r="E28" s="91" t="s">
        <v>277</v>
      </c>
      <c r="F28" s="71">
        <v>2</v>
      </c>
      <c r="G28" s="71">
        <v>3</v>
      </c>
      <c r="H28" s="71">
        <f>IF(OR(F28="",G28=""),"",G28-F28+1)</f>
        <v>2</v>
      </c>
      <c r="I28" s="71"/>
      <c r="J28" s="71"/>
      <c r="K28" s="70"/>
      <c r="L28" s="70"/>
      <c r="M28" s="70"/>
    </row>
    <row r="29" spans="2:13" s="69" customFormat="1" ht="30" customHeight="1">
      <c r="B29" s="71">
        <v>25</v>
      </c>
      <c r="C29" s="71" t="s">
        <v>61</v>
      </c>
      <c r="D29" s="87" t="s">
        <v>259</v>
      </c>
      <c r="E29" s="93" t="s">
        <v>275</v>
      </c>
      <c r="F29" s="71">
        <v>2</v>
      </c>
      <c r="G29" s="71">
        <v>2</v>
      </c>
      <c r="H29" s="71">
        <f>IF(OR(F29="",G29=""),"",G29-F29+1)</f>
        <v>1</v>
      </c>
      <c r="I29" s="71"/>
      <c r="J29" s="71"/>
      <c r="K29" s="70"/>
      <c r="L29" s="70"/>
      <c r="M29" s="70"/>
    </row>
    <row r="30" spans="2:13" s="69" customFormat="1" ht="30" customHeight="1">
      <c r="B30" s="71">
        <v>26</v>
      </c>
      <c r="C30" s="71" t="s">
        <v>61</v>
      </c>
      <c r="D30" s="87" t="s">
        <v>260</v>
      </c>
      <c r="E30" s="93" t="s">
        <v>275</v>
      </c>
      <c r="F30" s="71">
        <v>3</v>
      </c>
      <c r="G30" s="71">
        <v>3</v>
      </c>
      <c r="H30" s="71">
        <f>IF(OR(F30="",G30=""),"",G30-F30+1)</f>
        <v>1</v>
      </c>
      <c r="I30" s="71"/>
      <c r="J30" s="71"/>
      <c r="K30" s="70"/>
      <c r="L30" s="70"/>
      <c r="M30" s="70"/>
    </row>
    <row r="31" spans="2:13" s="69" customFormat="1" ht="30" customHeight="1" thickBot="1">
      <c r="B31" s="71">
        <v>27</v>
      </c>
      <c r="C31" s="71" t="s">
        <v>61</v>
      </c>
      <c r="D31" s="87" t="s">
        <v>261</v>
      </c>
      <c r="E31" s="93" t="s">
        <v>276</v>
      </c>
      <c r="F31" s="71">
        <v>2</v>
      </c>
      <c r="G31" s="71">
        <v>3</v>
      </c>
      <c r="H31" s="71">
        <f>IF(OR(F31="",G31=""),"",G31-F31+1)</f>
        <v>2</v>
      </c>
      <c r="I31" s="71"/>
      <c r="J31" s="71"/>
      <c r="K31" s="70"/>
      <c r="L31" s="70"/>
      <c r="M31" s="70"/>
    </row>
    <row r="32" spans="2:13" s="69" customFormat="1" ht="30" customHeight="1" thickBot="1">
      <c r="B32" s="71">
        <v>28</v>
      </c>
      <c r="C32" s="71" t="s">
        <v>63</v>
      </c>
      <c r="D32" s="86" t="s">
        <v>262</v>
      </c>
      <c r="E32" s="93" t="s">
        <v>278</v>
      </c>
      <c r="F32" s="71">
        <v>3</v>
      </c>
      <c r="G32" s="71">
        <v>3</v>
      </c>
      <c r="H32" s="71">
        <f>IF(OR(F32="",G32=""),"",G32-F32+1)</f>
        <v>1</v>
      </c>
      <c r="I32" s="71"/>
      <c r="J32" s="71"/>
      <c r="K32" s="70"/>
      <c r="L32" s="70"/>
      <c r="M32" s="70"/>
    </row>
    <row r="33" spans="2:13" s="69" customFormat="1" ht="30" customHeight="1" thickBot="1">
      <c r="B33" s="71">
        <v>29</v>
      </c>
      <c r="C33" s="71" t="s">
        <v>63</v>
      </c>
      <c r="D33" s="83" t="s">
        <v>263</v>
      </c>
      <c r="E33" s="94" t="s">
        <v>279</v>
      </c>
      <c r="F33" s="71">
        <v>3</v>
      </c>
      <c r="G33" s="71">
        <v>3</v>
      </c>
      <c r="H33" s="71">
        <f>IF(OR(F33="",G33=""),"",G33-F33+1)</f>
        <v>1</v>
      </c>
      <c r="I33" s="71"/>
      <c r="J33" s="71"/>
      <c r="K33" s="70"/>
      <c r="L33" s="70"/>
      <c r="M33" s="70"/>
    </row>
    <row r="34" spans="2:13" s="69" customFormat="1" ht="30" customHeight="1" thickBot="1">
      <c r="B34" s="71">
        <v>30</v>
      </c>
      <c r="C34" s="71" t="s">
        <v>63</v>
      </c>
      <c r="D34" s="82" t="s">
        <v>264</v>
      </c>
      <c r="E34" s="85" t="s">
        <v>236</v>
      </c>
      <c r="F34" s="71">
        <v>3</v>
      </c>
      <c r="G34" s="71">
        <v>3</v>
      </c>
      <c r="H34" s="71">
        <f>IF(OR(F34="",G34=""),"",G34-F34+1)</f>
        <v>1</v>
      </c>
      <c r="I34" s="71"/>
      <c r="J34" s="71"/>
      <c r="K34" s="70"/>
      <c r="L34" s="70"/>
      <c r="M34" s="70"/>
    </row>
    <row r="35" spans="2:13" s="69" customFormat="1" ht="30" customHeight="1" thickBot="1">
      <c r="B35" s="71">
        <v>31</v>
      </c>
      <c r="C35" s="71" t="s">
        <v>63</v>
      </c>
      <c r="D35" s="83" t="s">
        <v>265</v>
      </c>
      <c r="E35" s="85" t="s">
        <v>236</v>
      </c>
      <c r="F35" s="71">
        <v>3</v>
      </c>
      <c r="G35" s="71">
        <v>3</v>
      </c>
      <c r="H35" s="71">
        <f>IF(OR(F35="",G35=""),"",G35-F35+1)</f>
        <v>1</v>
      </c>
      <c r="I35" s="71"/>
      <c r="J35" s="71"/>
      <c r="K35" s="70"/>
      <c r="L35" s="70"/>
      <c r="M35" s="70"/>
    </row>
    <row r="36" spans="2:13" s="69" customFormat="1" ht="30" customHeight="1" thickBot="1">
      <c r="B36" s="71">
        <v>32</v>
      </c>
      <c r="C36" s="71" t="s">
        <v>63</v>
      </c>
      <c r="D36" s="82" t="s">
        <v>266</v>
      </c>
      <c r="E36" s="85" t="s">
        <v>236</v>
      </c>
      <c r="F36" s="71">
        <v>2</v>
      </c>
      <c r="G36" s="71">
        <v>3</v>
      </c>
      <c r="H36" s="71">
        <f>IF(OR(F36="",G36=""),"",G36-F36+1)</f>
        <v>2</v>
      </c>
      <c r="I36" s="71"/>
      <c r="J36" s="71"/>
      <c r="K36" s="70"/>
      <c r="L36" s="70"/>
      <c r="M36" s="70"/>
    </row>
    <row r="37" spans="2:13" s="69" customFormat="1" ht="30" customHeight="1" thickBot="1">
      <c r="B37" s="71">
        <v>33</v>
      </c>
      <c r="C37" s="71" t="s">
        <v>63</v>
      </c>
      <c r="D37" s="83" t="s">
        <v>267</v>
      </c>
      <c r="E37" s="85" t="s">
        <v>236</v>
      </c>
      <c r="F37" s="71">
        <v>2</v>
      </c>
      <c r="G37" s="71">
        <v>3</v>
      </c>
      <c r="H37" s="71">
        <f>IF(OR(F37="",G37=""),"",G37-F37+1)</f>
        <v>2</v>
      </c>
      <c r="I37" s="71"/>
      <c r="J37" s="71"/>
      <c r="K37" s="70"/>
      <c r="L37" s="70"/>
      <c r="M37" s="70"/>
    </row>
    <row r="38" spans="2:13" s="69" customFormat="1" ht="30" customHeight="1" thickBot="1">
      <c r="B38" s="71">
        <v>34</v>
      </c>
      <c r="C38" s="71" t="s">
        <v>62</v>
      </c>
      <c r="D38" s="89" t="s">
        <v>270</v>
      </c>
      <c r="E38" s="85" t="s">
        <v>236</v>
      </c>
      <c r="F38" s="71">
        <v>3</v>
      </c>
      <c r="G38" s="71">
        <v>3</v>
      </c>
      <c r="H38" s="71">
        <f>IF(OR(F38="",G38=""),"",G38-F38+1)</f>
        <v>1</v>
      </c>
      <c r="I38" s="71"/>
      <c r="J38" s="71"/>
      <c r="K38" s="70"/>
      <c r="L38" s="70"/>
      <c r="M38" s="70"/>
    </row>
    <row r="39" spans="2:13" s="69" customFormat="1" ht="30" customHeight="1" thickBot="1">
      <c r="B39" s="71">
        <v>35</v>
      </c>
      <c r="C39" s="71" t="s">
        <v>62</v>
      </c>
      <c r="D39" s="83" t="s">
        <v>268</v>
      </c>
      <c r="E39" s="85" t="s">
        <v>236</v>
      </c>
      <c r="F39" s="71">
        <v>3</v>
      </c>
      <c r="G39" s="71">
        <v>3</v>
      </c>
      <c r="H39" s="71">
        <f>IF(OR(F39="",G39=""),"",G39-F39+1)</f>
        <v>1</v>
      </c>
      <c r="I39" s="71"/>
      <c r="J39" s="71"/>
      <c r="K39" s="70"/>
      <c r="L39" s="70"/>
      <c r="M39" s="70"/>
    </row>
    <row r="40" spans="2:13" s="69" customFormat="1" ht="30" customHeight="1" thickBot="1">
      <c r="B40" s="71">
        <v>36</v>
      </c>
      <c r="C40" s="71" t="s">
        <v>62</v>
      </c>
      <c r="D40" s="82" t="s">
        <v>269</v>
      </c>
      <c r="E40" s="85" t="s">
        <v>236</v>
      </c>
      <c r="F40" s="71">
        <v>3</v>
      </c>
      <c r="G40" s="71">
        <v>3</v>
      </c>
      <c r="H40" s="71">
        <f>IF(OR(F40="",G40=""),"",G40-F40+1)</f>
        <v>1</v>
      </c>
      <c r="I40" s="71"/>
      <c r="J40" s="71"/>
      <c r="K40" s="70"/>
      <c r="L40" s="70"/>
      <c r="M40" s="70"/>
    </row>
    <row r="41" spans="2:13" s="69" customFormat="1" ht="30" customHeight="1" thickBot="1">
      <c r="B41" s="71">
        <v>37</v>
      </c>
      <c r="C41" s="71" t="s">
        <v>64</v>
      </c>
      <c r="D41" s="88" t="s">
        <v>271</v>
      </c>
      <c r="E41" s="93" t="s">
        <v>276</v>
      </c>
      <c r="F41" s="71">
        <v>3</v>
      </c>
      <c r="G41" s="71">
        <v>3</v>
      </c>
      <c r="H41" s="71">
        <f>IF(OR(F41="",G41=""),"",G41-F41+1)</f>
        <v>1</v>
      </c>
      <c r="I41" s="71"/>
      <c r="J41" s="71"/>
      <c r="K41" s="70"/>
      <c r="L41" s="70"/>
      <c r="M41" s="70"/>
    </row>
    <row r="42" spans="2:13" s="69" customFormat="1" ht="30" customHeight="1" thickBot="1">
      <c r="B42" s="71">
        <v>38</v>
      </c>
      <c r="C42" s="71" t="s">
        <v>64</v>
      </c>
      <c r="D42" s="82" t="s">
        <v>272</v>
      </c>
      <c r="E42" s="93" t="s">
        <v>276</v>
      </c>
      <c r="F42" s="71">
        <v>3</v>
      </c>
      <c r="G42" s="71">
        <v>3</v>
      </c>
      <c r="H42" s="71">
        <f>IF(OR(F42="",G42=""),"",G42-F42+1)</f>
        <v>1</v>
      </c>
      <c r="I42" s="71"/>
      <c r="J42" s="71"/>
      <c r="K42" s="70"/>
      <c r="L42" s="70"/>
      <c r="M42" s="70"/>
    </row>
    <row r="43" spans="2:13" s="69" customFormat="1" ht="30" customHeight="1" thickBot="1">
      <c r="B43" s="71">
        <v>39</v>
      </c>
      <c r="C43" s="71" t="s">
        <v>65</v>
      </c>
      <c r="D43" s="88" t="s">
        <v>273</v>
      </c>
      <c r="E43" s="91" t="s">
        <v>277</v>
      </c>
      <c r="F43" s="71">
        <v>3</v>
      </c>
      <c r="G43" s="71">
        <v>3</v>
      </c>
      <c r="H43" s="71">
        <f>IF(OR(F43="",G43=""),"",G43-F43+1)</f>
        <v>1</v>
      </c>
      <c r="I43" s="71"/>
      <c r="J43" s="71"/>
      <c r="K43" s="70"/>
      <c r="L43" s="70"/>
      <c r="M43" s="70"/>
    </row>
    <row r="44" spans="2:13" s="69" customFormat="1" ht="30" customHeight="1" thickBot="1">
      <c r="B44" s="71">
        <v>40</v>
      </c>
      <c r="C44" s="71" t="s">
        <v>65</v>
      </c>
      <c r="D44" s="90" t="s">
        <v>274</v>
      </c>
      <c r="E44" s="91" t="s">
        <v>277</v>
      </c>
      <c r="F44" s="71">
        <v>3</v>
      </c>
      <c r="G44" s="71">
        <v>3</v>
      </c>
      <c r="H44" s="71">
        <f>IF(OR(F44="",G44=""),"",G44-F44+1)</f>
        <v>1</v>
      </c>
      <c r="I44" s="71"/>
      <c r="J44" s="71"/>
      <c r="K44" s="70"/>
      <c r="L44" s="70"/>
      <c r="M44" s="70"/>
    </row>
    <row r="60" spans="2:3" s="69" customFormat="1" ht="15" customHeight="1">
      <c r="B60" s="73" t="s">
        <v>60</v>
      </c>
      <c r="C60" s="74"/>
    </row>
    <row r="61" spans="2:3" s="69" customFormat="1" ht="15" customHeight="1">
      <c r="B61" s="54" t="s">
        <v>61</v>
      </c>
      <c r="C61" s="79"/>
    </row>
    <row r="62" spans="2:3" s="69" customFormat="1" ht="15" customHeight="1">
      <c r="B62" s="55" t="s">
        <v>62</v>
      </c>
      <c r="C62" s="78"/>
    </row>
    <row r="63" spans="2:3" s="69" customFormat="1" ht="15" customHeight="1">
      <c r="B63" s="56" t="s">
        <v>63</v>
      </c>
      <c r="C63" s="77"/>
    </row>
    <row r="64" spans="2:3" s="69" customFormat="1" ht="15" customHeight="1">
      <c r="B64" s="57" t="s">
        <v>64</v>
      </c>
      <c r="C64" s="76"/>
    </row>
    <row r="65" spans="2:3" s="69" customFormat="1" ht="15" customHeight="1">
      <c r="B65" s="58" t="s">
        <v>65</v>
      </c>
      <c r="C65" s="75"/>
    </row>
    <row r="66" spans="2:3" s="69" customFormat="1" ht="15" customHeight="1">
      <c r="B66" s="53" t="s">
        <v>66</v>
      </c>
      <c r="C66" s="80"/>
    </row>
  </sheetData>
  <mergeCells count="9">
    <mergeCell ref="B65:C65"/>
    <mergeCell ref="B66:C66"/>
    <mergeCell ref="B60:C60"/>
    <mergeCell ref="B61:C61"/>
    <mergeCell ref="B62:C62"/>
    <mergeCell ref="B63:C63"/>
    <mergeCell ref="B64:C64"/>
    <mergeCell ref="B3:M3"/>
    <mergeCell ref="B2:M2"/>
  </mergeCells>
  <phoneticPr fontId="17" type="noConversion"/>
  <conditionalFormatting sqref="K5:M44">
    <cfRule type="expression" dxfId="0" priority="6">
      <formula>AND(K$4&gt;=$F5,K$4&lt;=$G5)</formula>
    </cfRule>
  </conditionalFormatting>
  <dataValidations count="2">
    <dataValidation type="list" allowBlank="1" sqref="C5:C44" xr:uid="{00000000-0002-0000-0500-000000000000}">
      <formula1>"기획,설계,개발,배포,테스트,문서화,발표준비"</formula1>
      <formula2>0</formula2>
    </dataValidation>
    <dataValidation type="list" allowBlank="1" sqref="J5:J44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9" t="s">
        <v>67</v>
      </c>
      <c r="C2" s="40"/>
    </row>
    <row r="3" spans="2:3" ht="19.5" customHeight="1">
      <c r="B3" s="47" t="s">
        <v>68</v>
      </c>
      <c r="C3" s="33"/>
    </row>
    <row r="5" spans="2:3" ht="19.5" customHeight="1">
      <c r="B5" s="7" t="s">
        <v>69</v>
      </c>
      <c r="C5" s="7" t="s">
        <v>70</v>
      </c>
    </row>
    <row r="6" spans="2:3" ht="30" customHeight="1">
      <c r="B6" s="5" t="s">
        <v>71</v>
      </c>
      <c r="C6" s="2" t="s">
        <v>72</v>
      </c>
    </row>
    <row r="7" spans="2:3" ht="30" customHeight="1">
      <c r="B7" s="5" t="s">
        <v>73</v>
      </c>
      <c r="C7" s="2" t="s">
        <v>74</v>
      </c>
    </row>
    <row r="8" spans="2:3" ht="30" customHeight="1">
      <c r="B8" s="5" t="s">
        <v>75</v>
      </c>
      <c r="C8" s="2" t="s">
        <v>76</v>
      </c>
    </row>
    <row r="9" spans="2:3" ht="30" customHeight="1">
      <c r="B9" s="1" t="s">
        <v>77</v>
      </c>
      <c r="C9" s="2" t="s">
        <v>78</v>
      </c>
    </row>
    <row r="10" spans="2:3" ht="30" customHeight="1">
      <c r="B10" s="5" t="s">
        <v>79</v>
      </c>
      <c r="C10" s="2" t="s">
        <v>80</v>
      </c>
    </row>
    <row r="11" spans="2:3" ht="30" customHeight="1">
      <c r="B11" s="5" t="s">
        <v>81</v>
      </c>
      <c r="C11" s="2" t="s">
        <v>82</v>
      </c>
    </row>
    <row r="12" spans="2:3" ht="30" customHeight="1">
      <c r="B12" s="5" t="s">
        <v>83</v>
      </c>
      <c r="C12" s="2" t="s">
        <v>84</v>
      </c>
    </row>
    <row r="13" spans="2:3" ht="30" customHeight="1">
      <c r="B13" s="1" t="s">
        <v>85</v>
      </c>
      <c r="C13" s="2" t="s">
        <v>86</v>
      </c>
    </row>
    <row r="14" spans="2:3" ht="30" customHeight="1">
      <c r="B14" s="5" t="s">
        <v>87</v>
      </c>
      <c r="C14" s="2" t="s">
        <v>88</v>
      </c>
    </row>
    <row r="15" spans="2:3" ht="30" customHeight="1">
      <c r="B15" s="1" t="s">
        <v>89</v>
      </c>
      <c r="C15" s="2" t="s">
        <v>90</v>
      </c>
    </row>
    <row r="16" spans="2:3" ht="30" customHeight="1">
      <c r="B16" s="1" t="s">
        <v>91</v>
      </c>
      <c r="C16" s="2" t="s">
        <v>92</v>
      </c>
    </row>
    <row r="17" spans="2:3" ht="30" customHeight="1">
      <c r="B17" s="5" t="s">
        <v>93</v>
      </c>
      <c r="C17" s="2" t="s">
        <v>94</v>
      </c>
    </row>
    <row r="18" spans="2:3" ht="30" customHeight="1">
      <c r="B18" s="1" t="s">
        <v>95</v>
      </c>
      <c r="C18" s="2" t="s">
        <v>96</v>
      </c>
    </row>
    <row r="19" spans="2:3" ht="30" customHeight="1">
      <c r="B19" s="1" t="s">
        <v>97</v>
      </c>
      <c r="C19" s="2" t="s">
        <v>98</v>
      </c>
    </row>
    <row r="20" spans="2:3" ht="30" customHeight="1">
      <c r="B20" s="1" t="s">
        <v>99</v>
      </c>
      <c r="C20" s="2" t="s">
        <v>100</v>
      </c>
    </row>
    <row r="21" spans="2:3" ht="30" customHeight="1">
      <c r="B21" s="1" t="s">
        <v>101</v>
      </c>
      <c r="C21" s="3" t="s">
        <v>102</v>
      </c>
    </row>
    <row r="22" spans="2:3" ht="30" customHeight="1">
      <c r="B22" s="1" t="s">
        <v>103</v>
      </c>
      <c r="C22" s="2" t="s">
        <v>104</v>
      </c>
    </row>
    <row r="23" spans="2:3" ht="30" customHeight="1">
      <c r="B23" s="5" t="s">
        <v>105</v>
      </c>
      <c r="C23" s="2" t="s">
        <v>106</v>
      </c>
    </row>
    <row r="24" spans="2:3" ht="30" customHeight="1">
      <c r="B24" s="5" t="s">
        <v>107</v>
      </c>
      <c r="C24" s="2" t="s">
        <v>108</v>
      </c>
    </row>
    <row r="25" spans="2:3" ht="30" customHeight="1">
      <c r="B25" s="5" t="s">
        <v>109</v>
      </c>
      <c r="C25" s="2" t="s">
        <v>110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2026-07-14T07:16:46Z</dcterms:modified>
  <dc:language>en-US</dc:language>
</cp:coreProperties>
</file>